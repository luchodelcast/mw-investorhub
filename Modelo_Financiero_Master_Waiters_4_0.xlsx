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0" yWindow="620" windowWidth="38260" windowHeight="20880" tabRatio="600" firstSheet="7" autoFilterDateGrouping="1"/>
  </bookViews>
  <sheets>
    <sheet xmlns:r="http://schemas.openxmlformats.org/officeDocument/2006/relationships" name="Dashboard" sheetId="1" state="visible" r:id="rId1"/>
    <sheet xmlns:r="http://schemas.openxmlformats.org/officeDocument/2006/relationships" name="Unit Economics" sheetId="2" state="visible" r:id="rId2"/>
    <sheet xmlns:r="http://schemas.openxmlformats.org/officeDocument/2006/relationships" name="Resumen Escenarios" sheetId="3" state="visible" r:id="rId3"/>
    <sheet xmlns:r="http://schemas.openxmlformats.org/officeDocument/2006/relationships" name="Documentación" sheetId="4" state="visible" r:id="rId4"/>
    <sheet xmlns:r="http://schemas.openxmlformats.org/officeDocument/2006/relationships" name="Escenarios" sheetId="5" state="visible" r:id="rId5"/>
    <sheet xmlns:r="http://schemas.openxmlformats.org/officeDocument/2006/relationships" name="Palancas" sheetId="6" state="visible" r:id="rId6"/>
    <sheet xmlns:r="http://schemas.openxmlformats.org/officeDocument/2006/relationships" name="Supuestos Generales" sheetId="7" state="visible" r:id="rId7"/>
    <sheet xmlns:r="http://schemas.openxmlformats.org/officeDocument/2006/relationships" name="Onboarding" sheetId="8" state="visible" r:id="rId8"/>
    <sheet xmlns:r="http://schemas.openxmlformats.org/officeDocument/2006/relationships" name="Ingresos" sheetId="9" state="visible" r:id="rId9"/>
    <sheet xmlns:r="http://schemas.openxmlformats.org/officeDocument/2006/relationships" name="Costos Directos" sheetId="10" state="visible" r:id="rId10"/>
    <sheet xmlns:r="http://schemas.openxmlformats.org/officeDocument/2006/relationships" name="CAC y GTM" sheetId="11" state="visible" r:id="rId11"/>
    <sheet xmlns:r="http://schemas.openxmlformats.org/officeDocument/2006/relationships" name="OPEX" sheetId="12" state="visible" r:id="rId12"/>
    <sheet xmlns:r="http://schemas.openxmlformats.org/officeDocument/2006/relationships" name="Estados Financieros" sheetId="13" state="visible" r:id="rId13"/>
    <sheet xmlns:r="http://schemas.openxmlformats.org/officeDocument/2006/relationships" name="Valoración" sheetId="14" state="visible" r:id="rId14"/>
    <sheet xmlns:r="http://schemas.openxmlformats.org/officeDocument/2006/relationships" name="Anexos Documentación" sheetId="15" state="visible" r:id="rId15"/>
  </sheets>
  <definedNames>
    <definedName name="EscenarioActivo">Escenarios!$B$4</definedName>
  </definedNames>
  <calcPr calcId="191029" fullCalcOnLoad="1"/>
</workbook>
</file>

<file path=xl/styles.xml><?xml version="1.0" encoding="utf-8"?>
<styleSheet xmlns="http://schemas.openxmlformats.org/spreadsheetml/2006/main">
  <numFmts count="23">
    <numFmt numFmtId="164" formatCode="&quot;$&quot;#,##0"/>
    <numFmt numFmtId="165" formatCode="0.0%"/>
    <numFmt numFmtId="166" formatCode="&quot;$&quot;#,##0.00"/>
    <numFmt numFmtId="167" formatCode="0.0\x"/>
    <numFmt numFmtId="168" formatCode="0.00&quot;x&quot;"/>
    <numFmt numFmtId="169" formatCode="&quot;$&quot;#,##0;\(&quot;$&quot;#,##0\);&quot;-&quot;"/>
    <numFmt numFmtId="170" formatCode="0.0%;\(0.0%\);&quot;-&quot;"/>
    <numFmt numFmtId="171" formatCode="0.0"/>
    <numFmt numFmtId="172" formatCode="&quot;Mes &quot;#"/>
    <numFmt numFmtId="173" formatCode="&quot;$&quot;#,##0_);[Red]\(&quot;$&quot;#,##0\)"/>
    <numFmt numFmtId="174" formatCode="&quot;$&quot;#,##0.00_);[Red]\(&quot;$&quot;#,##0.00\)"/>
    <numFmt numFmtId="175" formatCode="&quot;$&quot;\ #,##0"/>
    <numFmt numFmtId="176" formatCode="0.0&quot;x&quot;"/>
    <numFmt numFmtId="177" formatCode="&quot;$&quot;#,##0.0&quot;M&quot;"/>
    <numFmt numFmtId="178" formatCode="&quot;$&quot;#,##0,&quot;K&quot;"/>
    <numFmt numFmtId="179" formatCode="&quot;$&quot;#,##0.0,,&quot;M&quot;"/>
    <numFmt numFmtId="180" formatCode="&quot;$&quot;#,##0,,&quot;M&quot;"/>
    <numFmt numFmtId="181" formatCode="#,##0.0&quot;x&quot;"/>
    <numFmt numFmtId="182" formatCode="yyyy\-mm\-dd"/>
    <numFmt numFmtId="183" formatCode="mm/dd/yyyy"/>
    <numFmt numFmtId="184" formatCode="#,##0.0"/>
    <numFmt numFmtId="185" formatCode="&quot;$&quot;#,##0;\(&quot;$&quot;#,##0\);\-"/>
    <numFmt numFmtId="186" formatCode="m/d/yy"/>
  </numFmts>
  <fonts count="169">
    <font>
      <name val="Aptos Narrow"/>
      <family val="2"/>
      <color theme="1"/>
      <sz val="12"/>
      <scheme val="minor"/>
    </font>
    <font>
      <name val="Aptos Narrow"/>
      <family val="2"/>
      <color theme="1"/>
      <sz val="12"/>
      <scheme val="minor"/>
    </font>
    <font>
      <name val="Aptos Narrow"/>
      <family val="2"/>
      <b val="1"/>
      <color rgb="FFFFFFFF"/>
      <sz val="14"/>
      <scheme val="minor"/>
    </font>
    <font>
      <name val="Aptos Narrow"/>
      <family val="2"/>
      <i val="1"/>
      <color rgb="FF2F5496"/>
      <sz val="10"/>
      <scheme val="minor"/>
    </font>
    <font>
      <name val="Aptos Narrow"/>
      <family val="2"/>
      <b val="1"/>
      <color rgb="FFFFFFFF"/>
      <sz val="11"/>
      <scheme val="minor"/>
    </font>
    <font>
      <name val="Aptos Narrow"/>
      <family val="2"/>
      <b val="1"/>
      <color rgb="FF0000FF"/>
      <sz val="12"/>
      <scheme val="minor"/>
    </font>
    <font>
      <name val="Aptos Narrow"/>
      <family val="2"/>
      <i val="1"/>
      <color rgb="FF808080"/>
      <sz val="12"/>
      <scheme val="minor"/>
    </font>
    <font>
      <name val="Aptos Narrow"/>
      <family val="2"/>
      <b val="1"/>
      <i val="1"/>
      <color rgb="FFFFFFFF"/>
      <sz val="11"/>
      <scheme val="minor"/>
    </font>
    <font>
      <name val="Aptos Narrow"/>
      <family val="2"/>
      <b val="1"/>
      <color rgb="FF2F5496"/>
      <sz val="10"/>
      <scheme val="minor"/>
    </font>
    <font>
      <name val="Aptos Narrow"/>
      <color rgb="FF000000"/>
      <sz val="12"/>
      <scheme val="minor"/>
    </font>
    <font>
      <name val="Aptos Narrow"/>
      <b val="1"/>
      <color rgb="FF0000FF"/>
      <sz val="12"/>
      <scheme val="minor"/>
    </font>
    <font>
      <name val="Aptos Narrow"/>
      <i val="1"/>
      <color rgb="FF808080"/>
      <sz val="12"/>
      <scheme val="minor"/>
    </font>
    <font>
      <name val="Aptos Narrow"/>
      <b val="1"/>
      <color rgb="FFFFFFFF"/>
      <sz val="14"/>
      <scheme val="minor"/>
    </font>
    <font>
      <name val="Aptos Narrow"/>
      <b val="1"/>
      <color rgb="FFFFFFFF"/>
      <sz val="11"/>
      <scheme val="minor"/>
    </font>
    <font>
      <name val="Aptos Narrow"/>
      <b val="1"/>
      <color rgb="FF000000"/>
      <sz val="12"/>
      <scheme val="minor"/>
    </font>
    <font>
      <name val="Aptos Narrow"/>
      <b val="1"/>
      <color rgb="FF2F5496"/>
      <sz val="12"/>
      <scheme val="minor"/>
    </font>
    <font>
      <name val="Aptos Narrow"/>
      <b val="1"/>
      <color rgb="FFFFFFFF"/>
      <sz val="12"/>
      <scheme val="minor"/>
    </font>
    <font>
      <name val="Aptos Narrow"/>
      <i val="1"/>
      <color rgb="FF808080"/>
      <sz val="10"/>
      <scheme val="minor"/>
    </font>
    <font>
      <name val="Aptos Narrow"/>
      <b val="1"/>
      <color rgb="FF008000"/>
      <sz val="10"/>
      <scheme val="minor"/>
    </font>
    <font>
      <name val="Aptos Narrow"/>
      <b val="1"/>
      <color rgb="FFFFFFFF"/>
      <sz val="10"/>
      <scheme val="minor"/>
    </font>
    <font>
      <name val="Aptos Narrow"/>
      <b val="1"/>
      <color rgb="FFFF0000"/>
      <sz val="12"/>
      <scheme val="minor"/>
    </font>
    <font>
      <name val="Aptos Narrow"/>
      <color theme="1"/>
      <sz val="10"/>
      <scheme val="minor"/>
    </font>
    <font>
      <name val="Aptos Narrow"/>
      <b val="1"/>
      <color rgb="FF2F5496"/>
      <sz val="11"/>
      <scheme val="minor"/>
    </font>
    <font>
      <name val="Aptos Narrow"/>
      <b val="1"/>
      <color rgb="FF2F5496"/>
      <sz val="10"/>
      <scheme val="minor"/>
    </font>
    <font>
      <name val="Aptos Narrow"/>
      <b val="1"/>
      <i val="1"/>
      <color rgb="FF2F5496"/>
      <sz val="10"/>
      <scheme val="minor"/>
    </font>
    <font>
      <name val="Aptos Narrow"/>
      <b val="1"/>
      <i val="1"/>
      <color rgb="FF0000FF"/>
      <sz val="12"/>
      <scheme val="minor"/>
    </font>
    <font>
      <name val="Aptos Narrow"/>
      <b val="1"/>
      <color theme="1"/>
      <sz val="10"/>
      <scheme val="minor"/>
    </font>
    <font>
      <name val="Aptos Narrow"/>
      <color rgb="FF000000"/>
      <sz val="10"/>
      <scheme val="minor"/>
    </font>
    <font>
      <name val="Aptos Narrow"/>
      <color rgb="FFFF0000"/>
      <sz val="10"/>
      <scheme val="minor"/>
    </font>
    <font>
      <name val="Aptos Narrow"/>
      <color rgb="FF008000"/>
      <sz val="10"/>
      <scheme val="minor"/>
    </font>
    <font>
      <name val="Aptos Narrow"/>
      <color theme="1"/>
      <sz val="11"/>
      <scheme val="minor"/>
    </font>
    <font>
      <name val="Aptos Narrow"/>
      <b val="1"/>
      <color rgb="FF000000"/>
      <sz val="11"/>
      <scheme val="minor"/>
    </font>
    <font>
      <name val="Aptos Narrow"/>
      <color rgb="FF808080"/>
      <sz val="10"/>
      <scheme val="minor"/>
    </font>
    <font>
      <name val="Aptos Narrow"/>
      <b val="1"/>
      <i val="1"/>
      <color rgb="FFFFFFFF"/>
      <sz val="11"/>
      <scheme val="minor"/>
    </font>
    <font>
      <name val="Aptos Narrow"/>
      <family val="2"/>
      <b val="1"/>
      <color theme="1"/>
      <sz val="12"/>
      <scheme val="minor"/>
    </font>
    <font>
      <name val="Aptos Narrow"/>
      <family val="2"/>
      <b val="1"/>
      <color rgb="FFFFFFFF"/>
      <sz val="12"/>
      <scheme val="minor"/>
    </font>
    <font>
      <name val="Aptos Narrow"/>
      <family val="2"/>
      <i val="1"/>
      <color theme="1"/>
      <sz val="12"/>
      <scheme val="minor"/>
    </font>
    <font>
      <name val="Aptos Narrow"/>
      <family val="2"/>
      <b val="1"/>
      <i val="1"/>
      <color theme="1"/>
      <sz val="12"/>
      <scheme val="minor"/>
    </font>
    <font>
      <name val="Aptos Narrow"/>
      <family val="2"/>
      <b val="1"/>
      <color rgb="FF0000FF"/>
      <sz val="14"/>
      <scheme val="minor"/>
    </font>
    <font>
      <name val="Aptos Narrow"/>
      <family val="2"/>
      <i val="1"/>
      <color rgb="FF666666"/>
      <sz val="12"/>
      <scheme val="minor"/>
    </font>
    <font>
      <name val="Aptos Narrow"/>
      <family val="2"/>
      <b val="1"/>
      <color rgb="FF1F4E79"/>
      <sz val="11"/>
      <scheme val="minor"/>
    </font>
    <font>
      <name val="Aptos Narrow"/>
      <family val="2"/>
      <b val="1"/>
      <color rgb="FF1F4E79"/>
      <sz val="12"/>
      <scheme val="minor"/>
    </font>
    <font>
      <name val="Aptos Narrow"/>
      <family val="2"/>
      <b val="1"/>
      <color rgb="FF008000"/>
      <sz val="12"/>
      <scheme val="minor"/>
    </font>
    <font>
      <name val="Aptos Narrow"/>
      <family val="2"/>
      <b val="1"/>
      <color theme="1"/>
      <sz val="11"/>
      <scheme val="minor"/>
    </font>
    <font>
      <name val="Aptos Narrow"/>
      <family val="2"/>
      <color rgb="FF666666"/>
      <sz val="9"/>
      <scheme val="minor"/>
    </font>
    <font>
      <name val="Aptos Narrow"/>
      <family val="2"/>
      <i val="1"/>
      <color rgb="FF666666"/>
      <sz val="9"/>
      <scheme val="minor"/>
    </font>
    <font>
      <name val="Aptos Narrow"/>
      <family val="2"/>
      <b val="1"/>
      <color theme="1"/>
      <sz val="9"/>
      <scheme val="minor"/>
    </font>
    <font>
      <name val="Arial"/>
      <family val="2"/>
      <b val="1"/>
      <color rgb="FF1A237E"/>
      <sz val="18"/>
    </font>
    <font>
      <name val="Arial"/>
      <family val="2"/>
      <i val="1"/>
      <color rgb="FF424242"/>
      <sz val="12"/>
    </font>
    <font>
      <name val="Arial"/>
      <family val="2"/>
      <color rgb="FF757575"/>
      <sz val="10"/>
    </font>
    <font>
      <name val="Arial"/>
      <family val="2"/>
      <b val="1"/>
      <color rgb="FFFFFFFF"/>
      <sz val="14"/>
    </font>
    <font>
      <name val="Arial"/>
      <family val="2"/>
      <color rgb="FF1A237E"/>
      <sz val="11"/>
    </font>
    <font>
      <name val="Arial"/>
      <family val="2"/>
      <color rgb="FF424242"/>
      <sz val="11"/>
    </font>
    <font>
      <name val="Arial"/>
      <family val="2"/>
      <b val="1"/>
      <color rgb="FF1A237E"/>
      <sz val="12"/>
    </font>
    <font>
      <name val="Arial"/>
      <family val="2"/>
      <color theme="1"/>
      <sz val="11"/>
    </font>
    <font>
      <name val="Arial"/>
      <family val="2"/>
      <b val="1"/>
      <color theme="1"/>
      <sz val="11"/>
    </font>
    <font>
      <name val="Arial"/>
      <family val="2"/>
      <b val="1"/>
      <color rgb="FF2E7D32"/>
      <sz val="11"/>
    </font>
    <font>
      <name val="Arial"/>
      <family val="2"/>
      <b val="1"/>
      <color rgb="FFD84315"/>
      <sz val="11"/>
    </font>
    <font>
      <name val="Arial"/>
      <family val="2"/>
      <b val="1"/>
      <color rgb="FF2E7D32"/>
      <sz val="12"/>
    </font>
    <font>
      <name val="Arial"/>
      <family val="2"/>
      <b val="1"/>
      <color rgb="FFD84315"/>
      <sz val="12"/>
    </font>
    <font>
      <name val="Arial"/>
      <family val="2"/>
      <color rgb="FF0000FF"/>
      <sz val="11"/>
    </font>
    <font>
      <name val="Arial"/>
      <family val="2"/>
      <b val="1"/>
      <color rgb="FF0000FF"/>
      <sz val="11"/>
    </font>
    <font>
      <name val="Arial"/>
      <family val="2"/>
      <b val="1"/>
      <color rgb="FF1A237E"/>
      <sz val="11"/>
    </font>
    <font>
      <name val="Arial"/>
      <family val="2"/>
      <i val="1"/>
      <color rgb="FF757575"/>
      <sz val="11"/>
    </font>
    <font>
      <name val="Arial"/>
      <family val="2"/>
      <color theme="1"/>
      <sz val="10"/>
    </font>
    <font>
      <name val="Arial"/>
      <family val="2"/>
      <b val="1"/>
      <color theme="1"/>
      <sz val="10"/>
    </font>
    <font>
      <name val="Aptos Narrow"/>
      <color theme="1"/>
      <sz val="12"/>
      <scheme val="minor"/>
    </font>
    <font>
      <name val="Aptos Narrow"/>
      <i val="1"/>
      <color rgb="FF000000"/>
      <sz val="12"/>
      <scheme val="minor"/>
    </font>
    <font>
      <name val="Aptos Narrow"/>
      <b val="1"/>
      <i val="1"/>
      <color rgb="FF000000"/>
      <sz val="12"/>
      <scheme val="minor"/>
    </font>
    <font>
      <name val="Aptos Narrow"/>
      <i val="1"/>
      <color theme="1"/>
      <sz val="12"/>
      <scheme val="minor"/>
    </font>
    <font>
      <name val="Aptos Narrow"/>
      <b val="1"/>
      <i val="1"/>
      <color theme="1"/>
      <sz val="12"/>
      <scheme val="minor"/>
    </font>
    <font>
      <name val="Aptos Narrow"/>
      <family val="2"/>
      <color theme="10"/>
      <sz val="12"/>
      <u val="single"/>
      <scheme val="minor"/>
    </font>
    <font>
      <name val="Aptos Narrow"/>
      <b val="1"/>
      <i val="1"/>
      <color rgb="FF808080"/>
      <sz val="12"/>
      <scheme val="minor"/>
    </font>
    <font>
      <name val="Aptos Narrow"/>
      <b val="1"/>
      <color rgb="FF000000"/>
      <sz val="10"/>
      <scheme val="minor"/>
    </font>
    <font>
      <name val="Aptos Narrow"/>
      <b val="1"/>
      <i val="1"/>
      <color rgb="FF808080"/>
      <sz val="10"/>
      <scheme val="minor"/>
    </font>
    <font>
      <name val="Aptos Narrow"/>
      <b val="1"/>
      <color rgb="FF375623"/>
      <sz val="12"/>
      <scheme val="minor"/>
    </font>
    <font>
      <name val="Tahoma"/>
      <family val="2"/>
      <color rgb="FF000000"/>
      <sz val="10"/>
    </font>
    <font>
      <name val="Tahoma"/>
      <family val="2"/>
      <b val="1"/>
      <color rgb="FF000000"/>
      <sz val="10"/>
    </font>
    <font>
      <name val="Aptos Narrow"/>
      <b val="1"/>
      <color rgb="FF375623"/>
      <sz val="10"/>
      <scheme val="minor"/>
    </font>
    <font>
      <name val="Aptos Narrow"/>
      <b val="1"/>
      <i val="1"/>
      <color rgb="FF375623"/>
      <sz val="10"/>
      <scheme val="minor"/>
    </font>
    <font>
      <name val="Aptos Narrow"/>
      <i val="1"/>
      <color rgb="FF375623"/>
      <sz val="10"/>
      <u val="single"/>
      <scheme val="minor"/>
    </font>
    <font>
      <name val="Aptos Narrow"/>
      <family val="2"/>
      <color rgb="FF0563C1"/>
      <sz val="10"/>
      <u val="single"/>
      <scheme val="minor"/>
    </font>
    <font>
      <name val="Aptos Narrow"/>
      <color rgb="FFC00000"/>
      <sz val="10"/>
      <scheme val="minor"/>
    </font>
    <font>
      <name val="Aptos Narrow"/>
      <b val="1"/>
      <color rgb="FFC00000"/>
      <sz val="10"/>
      <scheme val="minor"/>
    </font>
    <font>
      <name val="Aptos Narrow"/>
      <b val="1"/>
      <color rgb="FF1F4E79"/>
      <sz val="11"/>
      <scheme val="minor"/>
    </font>
    <font>
      <name val="Aptos Narrow"/>
      <b val="1"/>
      <color rgb="FF0000FF"/>
      <sz val="10"/>
      <scheme val="minor"/>
    </font>
    <font>
      <name val="Aptos Narrow"/>
      <b val="1"/>
      <color rgb="FFC00000"/>
      <sz val="11"/>
      <scheme val="minor"/>
    </font>
    <font>
      <name val="Aptos Narrow"/>
      <b val="1"/>
      <color rgb="FF0563C1"/>
      <sz val="11"/>
      <u val="single"/>
      <scheme val="minor"/>
    </font>
    <font>
      <name val="Aptos Narrow"/>
      <i val="1"/>
      <color rgb="FF1F4E79"/>
      <sz val="10"/>
      <scheme val="minor"/>
    </font>
    <font>
      <name val="Aptos Narrow"/>
      <b val="1"/>
      <i val="1"/>
      <color rgb="FF2F5496"/>
      <sz val="11"/>
      <scheme val="minor"/>
    </font>
    <font>
      <name val="Aptos Narrow"/>
      <color rgb="FF000000"/>
      <sz val="11"/>
      <scheme val="minor"/>
    </font>
    <font>
      <name val="Aptos Narrow"/>
      <b val="1"/>
      <color theme="1"/>
      <sz val="11"/>
      <scheme val="minor"/>
    </font>
    <font>
      <name val="Aptos Narrow"/>
      <b val="1"/>
      <color theme="1"/>
      <sz val="12"/>
      <scheme val="minor"/>
    </font>
    <font>
      <name val="Aptos Narrow"/>
      <i val="1"/>
      <color rgb="FF375623"/>
      <sz val="10"/>
      <scheme val="minor"/>
    </font>
    <font>
      <name val="Aptos Narrow"/>
      <b val="1"/>
      <color rgb="FF375623"/>
      <sz val="11"/>
      <scheme val="minor"/>
    </font>
    <font>
      <name val="Aptos Narrow"/>
      <b val="1"/>
      <color rgb="FF1F4E79"/>
      <sz val="13"/>
      <scheme val="minor"/>
    </font>
    <font>
      <name val="Aptos Narrow"/>
      <b val="1"/>
      <color rgb="FF1F4E79"/>
      <sz val="14"/>
      <scheme val="minor"/>
    </font>
    <font>
      <name val="Aptos Narrow"/>
      <b val="1"/>
      <color rgb="FF0000FF"/>
      <sz val="14"/>
      <scheme val="minor"/>
    </font>
    <font>
      <name val="Aptos Narrow"/>
      <b val="1"/>
      <color rgb="FFC00000"/>
      <sz val="12"/>
      <scheme val="minor"/>
    </font>
    <font>
      <name val="Aptos Narrow"/>
      <b val="1"/>
      <color rgb="FFC00000"/>
      <sz val="14"/>
      <scheme val="minor"/>
    </font>
    <font>
      <name val="Aptos Narrow"/>
      <i val="1"/>
      <color rgb="FFC00000"/>
      <sz val="10"/>
      <scheme val="minor"/>
    </font>
    <font>
      <name val="Aptos Narrow"/>
      <i val="1"/>
      <color rgb="FF666666"/>
      <sz val="9"/>
      <scheme val="minor"/>
    </font>
    <font>
      <name val="Aptos Narrow"/>
      <color rgb="FF666666"/>
      <sz val="10"/>
      <scheme val="minor"/>
    </font>
    <font>
      <name val="Aptos Narrow"/>
      <i val="1"/>
      <color rgb="FF666666"/>
      <sz val="10"/>
      <scheme val="minor"/>
    </font>
    <font>
      <name val="Aptos Narrow"/>
      <b val="1"/>
      <color rgb="FF1F4E79"/>
      <sz val="10"/>
      <scheme val="minor"/>
    </font>
    <font>
      <name val="Aptos Narrow"/>
      <b val="1"/>
      <color rgb="FF1F4E79"/>
      <sz val="12"/>
      <scheme val="minor"/>
    </font>
    <font>
      <name val="Aptos Narrow"/>
      <color rgb="FF000000"/>
      <sz val="9"/>
      <scheme val="minor"/>
    </font>
    <font>
      <name val="Aptos Narrow"/>
      <b val="1"/>
      <color rgb="FFC00000"/>
      <sz val="9"/>
      <scheme val="minor"/>
    </font>
    <font>
      <name val="Aptos Narrow"/>
      <i val="1"/>
      <color rgb="FF808080"/>
      <sz val="9"/>
      <scheme val="minor"/>
    </font>
    <font>
      <name val="Aptos Narrow"/>
      <color rgb="FF0563C1"/>
      <sz val="10"/>
      <u val="single"/>
      <scheme val="minor"/>
    </font>
    <font>
      <name val="Aptos Narrow"/>
      <b val="1"/>
      <i val="1"/>
      <color theme="1"/>
      <sz val="11"/>
      <scheme val="minor"/>
    </font>
    <font>
      <name val="Aptos Narrow"/>
      <color rgb="FF0000FF"/>
      <sz val="11"/>
      <scheme val="minor"/>
    </font>
    <font>
      <name val="Aptos Narrow"/>
      <i val="1"/>
      <color rgb="FF0000FF"/>
      <sz val="11"/>
      <scheme val="minor"/>
    </font>
    <font>
      <name val="Aptos Narrow"/>
      <color rgb="FF808080"/>
      <sz val="11"/>
      <scheme val="minor"/>
    </font>
    <font>
      <name val="Aptos Narrow"/>
      <i val="1"/>
      <color theme="1"/>
      <sz val="11"/>
      <scheme val="minor"/>
    </font>
    <font>
      <name val="Aptos Narrow"/>
      <b val="1"/>
      <color rgb="FF008000"/>
      <sz val="11"/>
      <scheme val="minor"/>
    </font>
    <font>
      <name val="Aptos Narrow"/>
      <i val="1"/>
      <color rgb="FF808080"/>
      <sz val="11"/>
      <scheme val="minor"/>
    </font>
    <font>
      <name val="Aptos Narrow"/>
      <b val="1"/>
      <color rgb="FFFFFFFF"/>
      <sz val="16"/>
      <scheme val="minor"/>
    </font>
    <font>
      <name val="Aptos Narrow"/>
      <b val="1"/>
      <color rgb="FFFFFFFF"/>
      <sz val="13"/>
      <scheme val="minor"/>
    </font>
    <font>
      <name val="Aptos Narrow"/>
      <b val="1"/>
      <color rgb="FF0000FF"/>
      <sz val="11"/>
      <scheme val="minor"/>
    </font>
    <font>
      <name val="Aptos Narrow"/>
      <family val="2"/>
      <color rgb="FF000000"/>
      <sz val="12"/>
      <scheme val="minor"/>
    </font>
    <font>
      <name val="Aptos Narrow"/>
      <family val="2"/>
      <b val="1"/>
      <color rgb="FF000000"/>
      <sz val="12"/>
      <scheme val="minor"/>
    </font>
    <font>
      <name val="Aptos Narrow"/>
      <family val="2"/>
      <color rgb="FFC00000"/>
      <sz val="12"/>
      <scheme val="minor"/>
    </font>
    <font>
      <name val="Aptos Narrow"/>
      <i val="1"/>
      <color rgb="FF2F5496"/>
      <sz val="10"/>
      <scheme val="minor"/>
    </font>
    <font>
      <name val="Aptos Narrow"/>
      <family val="2"/>
      <color rgb="FF0000FF"/>
      <sz val="12"/>
      <scheme val="minor"/>
    </font>
    <font>
      <name val="Aptos Narrow"/>
      <family val="2"/>
      <b val="1"/>
      <color rgb="FF375623"/>
      <sz val="12"/>
      <scheme val="minor"/>
    </font>
    <font>
      <name val="Aptos Narrow"/>
      <b val="1"/>
      <color rgb="FF7030A0"/>
      <sz val="12"/>
      <scheme val="minor"/>
    </font>
    <font>
      <name val="Aptos Narrow"/>
      <family val="2"/>
      <b val="1"/>
      <color rgb="FFC00000"/>
      <sz val="12"/>
      <scheme val="minor"/>
    </font>
    <font>
      <name val="Arial"/>
      <family val="2"/>
      <b val="1"/>
      <color rgb="FF7030A0"/>
      <sz val="11"/>
    </font>
    <font>
      <name val="Arial"/>
      <family val="2"/>
      <b val="1"/>
      <i val="1"/>
      <color rgb="FF7030A0"/>
      <sz val="11"/>
    </font>
    <font>
      <name val="Aptos Narrow"/>
      <b val="1"/>
      <color rgb="FF1F4E79"/>
      <sz val="9"/>
      <scheme val="minor"/>
    </font>
    <font>
      <name val="Aptos Narrow"/>
      <color rgb="FFC00000"/>
      <sz val="12"/>
      <scheme val="minor"/>
    </font>
    <font>
      <name val="Aptos Narrow"/>
      <color rgb="FFFFFFFF"/>
      <sz val="12"/>
      <scheme val="minor"/>
    </font>
    <font>
      <name val="Aptos Narrow"/>
      <family val="2"/>
      <b val="1"/>
      <color rgb="FF2F5496"/>
      <sz val="12"/>
      <scheme val="minor"/>
    </font>
    <font>
      <name val="Aptos Narrow"/>
      <family val="2"/>
      <b val="1"/>
      <color rgb="FF7030A0"/>
      <sz val="12"/>
      <scheme val="minor"/>
    </font>
    <font>
      <name val="Aptos Narrow"/>
      <family val="2"/>
      <color rgb="FFFFFFFF"/>
      <sz val="8"/>
      <scheme val="minor"/>
    </font>
    <font>
      <name val="Aptos Narrow"/>
      <b val="1"/>
      <color rgb="FFFFFFFF"/>
      <sz val="8"/>
      <scheme val="minor"/>
    </font>
    <font>
      <name val="Aptos Narrow"/>
      <family val="2"/>
      <b val="1"/>
      <color rgb="FFFFFFFF"/>
      <sz val="8"/>
      <scheme val="minor"/>
    </font>
    <font>
      <name val="Aptos Narrow"/>
      <family val="2"/>
      <b val="1"/>
      <color rgb="FFFFFFFF"/>
      <sz val="10"/>
      <scheme val="minor"/>
    </font>
    <font>
      <name val="Aptos Narrow"/>
      <family val="2"/>
      <i val="1"/>
      <color rgb="FF2F5496"/>
      <sz val="9"/>
      <u val="single"/>
      <scheme val="minor"/>
    </font>
    <font>
      <name val="Aptos Narrow"/>
      <family val="2"/>
      <b val="1"/>
      <color rgb="FF1F4E79"/>
      <sz val="14"/>
      <scheme val="minor"/>
    </font>
    <font>
      <name val="Aptos Narrow"/>
      <family val="2"/>
      <color rgb="FF808080"/>
      <sz val="12"/>
      <scheme val="minor"/>
    </font>
    <font>
      <name val="Aptos Narrow"/>
      <family val="2"/>
      <i val="1"/>
      <color rgb="FF808080"/>
      <sz val="10"/>
      <scheme val="minor"/>
    </font>
    <font>
      <name val="Aptos Narrow"/>
      <family val="2"/>
      <color rgb="FF008000"/>
      <sz val="9"/>
      <scheme val="minor"/>
    </font>
    <font>
      <name val="Aptos Narrow"/>
      <family val="2"/>
      <color rgb="FF808080"/>
      <sz val="9"/>
      <scheme val="minor"/>
    </font>
    <font>
      <name val="Aptos Narrow"/>
      <family val="2"/>
      <b val="1"/>
      <color rgb="FFFFFFFF"/>
      <sz val="9"/>
      <scheme val="minor"/>
    </font>
    <font>
      <name val="Aptos Narrow"/>
      <family val="2"/>
      <b val="1"/>
      <color rgb="FF808080"/>
      <sz val="11"/>
      <scheme val="minor"/>
    </font>
    <font>
      <name val="Aptos Narrow"/>
      <family val="2"/>
      <b val="1"/>
      <color theme="1"/>
      <sz val="14"/>
      <scheme val="minor"/>
    </font>
    <font>
      <name val="Aptos Narrow"/>
      <i val="1"/>
      <color rgb="FF2F5496"/>
      <sz val="9"/>
      <u val="single"/>
      <scheme val="minor"/>
    </font>
    <font>
      <name val="Aptos Narrow"/>
      <color rgb="FF008000"/>
      <sz val="9"/>
      <scheme val="minor"/>
    </font>
    <font>
      <name val="Aptos Narrow"/>
      <b val="1"/>
      <color rgb="FF008000"/>
      <sz val="12"/>
      <scheme val="minor"/>
    </font>
    <font>
      <name val="Calibri"/>
      <family val="2"/>
      <color theme="1"/>
      <sz val="11"/>
    </font>
    <font>
      <name val="Calibri"/>
      <family val="2"/>
      <b val="1"/>
      <color rgb="FFFFFFFF"/>
      <sz val="14"/>
    </font>
    <font>
      <name val="Calibri"/>
      <family val="2"/>
      <b val="1"/>
      <color theme="1"/>
      <sz val="11"/>
    </font>
    <font>
      <name val="Aptos Narrow"/>
      <color rgb="FF2F5496"/>
      <sz val="10"/>
      <scheme val="minor"/>
    </font>
    <font>
      <name val="Aptos Narrow"/>
      <b val="1"/>
      <i val="1"/>
      <color rgb="FF2F5496"/>
      <sz val="12"/>
      <scheme val="minor"/>
    </font>
    <font>
      <name val="Arial"/>
      <family val="2"/>
      <color rgb="FF000000"/>
      <sz val="11"/>
    </font>
    <font>
      <name val="Arial"/>
      <family val="2"/>
      <b val="1"/>
      <color rgb="FF000000"/>
      <sz val="11"/>
    </font>
    <font>
      <name val="Arial"/>
      <family val="2"/>
      <i val="1"/>
      <color rgb="FF757575"/>
      <sz val="10"/>
    </font>
    <font>
      <name val="Aptos Narrow"/>
      <b val="1"/>
      <color rgb="FFFFFFFF"/>
      <sz val="18"/>
      <scheme val="minor"/>
    </font>
    <font>
      <name val="Aptos Narrow"/>
      <color rgb="FF424242"/>
      <sz val="10"/>
      <scheme val="minor"/>
    </font>
    <font>
      <name val="Aptos Narrow"/>
      <i val="1"/>
      <color rgb="FF2F5496"/>
      <sz val="9"/>
      <scheme val="minor"/>
    </font>
    <font>
      <name val="Aptos Narrow"/>
      <i val="1"/>
      <color rgb="FF424242"/>
      <sz val="10"/>
      <scheme val="minor"/>
    </font>
    <font>
      <name val="Aptos Narrow"/>
      <b val="1"/>
      <i val="1"/>
      <color rgb="FFC00000"/>
      <sz val="10"/>
      <scheme val="minor"/>
    </font>
    <font>
      <name val="Aptos Narrow"/>
      <b val="1"/>
      <color rgb="FF548235"/>
      <sz val="11"/>
      <scheme val="minor"/>
    </font>
    <font>
      <name val="Aptos Narrow"/>
      <b val="1"/>
      <i val="1"/>
      <color rgb="FF808080"/>
      <sz val="9"/>
      <scheme val="minor"/>
    </font>
    <font>
      <name val="Aptos Narrow"/>
      <b val="1"/>
      <i val="1"/>
      <color rgb="FF424242"/>
      <sz val="10"/>
      <scheme val="minor"/>
    </font>
    <font>
      <name val="Aptos Narrow"/>
      <b val="1"/>
      <color rgb="FF424242"/>
      <sz val="10"/>
      <scheme val="minor"/>
    </font>
    <font>
      <name val="Arial"/>
      <family val="2"/>
      <b val="1"/>
      <color rgb="FFFFFFFF"/>
      <sz val="10"/>
    </font>
  </fonts>
  <fills count="40">
    <fill>
      <patternFill/>
    </fill>
    <fill>
      <patternFill patternType="gray125"/>
    </fill>
    <fill>
      <patternFill patternType="solid">
        <fgColor rgb="FF2F5496"/>
        <bgColor indexed="64"/>
      </patternFill>
    </fill>
    <fill>
      <patternFill patternType="solid">
        <fgColor rgb="FF4472C4"/>
        <bgColor indexed="64"/>
      </patternFill>
    </fill>
    <fill>
      <patternFill patternType="solid">
        <fgColor rgb="FFD6E4F0"/>
        <bgColor indexed="64"/>
      </patternFill>
    </fill>
    <fill>
      <patternFill patternType="solid">
        <fgColor rgb="FFFFFFCC"/>
        <bgColor indexed="64"/>
      </patternFill>
    </fill>
    <fill>
      <patternFill patternType="solid">
        <fgColor rgb="FFFFFFFF"/>
        <bgColor indexed="64"/>
      </patternFill>
    </fill>
    <fill>
      <patternFill patternType="solid">
        <fgColor rgb="FFD9E2F3"/>
        <bgColor indexed="64"/>
      </patternFill>
    </fill>
    <fill>
      <patternFill patternType="solid">
        <fgColor rgb="FF1F4E79"/>
        <bgColor indexed="64"/>
      </patternFill>
    </fill>
    <fill>
      <patternFill patternType="solid">
        <fgColor rgb="FFE2EFDA"/>
        <bgColor indexed="64"/>
      </patternFill>
    </fill>
    <fill>
      <patternFill patternType="solid">
        <fgColor rgb="FFFFFF00"/>
        <bgColor indexed="64"/>
      </patternFill>
    </fill>
    <fill>
      <patternFill patternType="solid">
        <fgColor rgb="FFF4CCCC"/>
        <bgColor indexed="64"/>
      </patternFill>
    </fill>
    <fill>
      <patternFill patternType="solid">
        <fgColor rgb="FFD9EAD3"/>
        <bgColor indexed="64"/>
      </patternFill>
    </fill>
    <fill>
      <patternFill patternType="solid">
        <fgColor rgb="FFCFE2F3"/>
        <bgColor indexed="64"/>
      </patternFill>
    </fill>
    <fill>
      <patternFill patternType="solid">
        <fgColor rgb="FFFFF2F2"/>
        <bgColor indexed="64"/>
      </patternFill>
    </fill>
    <fill>
      <patternFill patternType="solid">
        <fgColor rgb="FFF2F7ED"/>
        <bgColor indexed="64"/>
      </patternFill>
    </fill>
    <fill>
      <patternFill patternType="solid">
        <fgColor rgb="FFEDF4FB"/>
        <bgColor indexed="64"/>
      </patternFill>
    </fill>
    <fill>
      <patternFill patternType="solid">
        <fgColor rgb="FFD9E1F2"/>
        <bgColor indexed="64"/>
      </patternFill>
    </fill>
    <fill>
      <patternFill patternType="solid">
        <fgColor rgb="FF1A237E"/>
        <bgColor indexed="64"/>
      </patternFill>
    </fill>
    <fill>
      <patternFill patternType="solid">
        <fgColor rgb="FFE8EAF6"/>
        <bgColor indexed="64"/>
      </patternFill>
    </fill>
    <fill>
      <patternFill patternType="solid">
        <fgColor rgb="FFFFF2CC"/>
        <bgColor indexed="64"/>
      </patternFill>
    </fill>
    <fill>
      <patternFill patternType="solid">
        <fgColor rgb="FFC00000"/>
        <bgColor indexed="64"/>
      </patternFill>
    </fill>
    <fill>
      <patternFill patternType="solid">
        <fgColor rgb="FF2E75B6"/>
        <bgColor indexed="64"/>
      </patternFill>
    </fill>
    <fill>
      <patternFill patternType="solid">
        <fgColor rgb="FF548235"/>
        <bgColor indexed="64"/>
      </patternFill>
    </fill>
    <fill>
      <patternFill patternType="solid">
        <fgColor rgb="FF7030A0"/>
        <bgColor indexed="64"/>
      </patternFill>
    </fill>
    <fill>
      <patternFill patternType="solid">
        <fgColor rgb="FFE8D5F5"/>
        <bgColor indexed="64"/>
      </patternFill>
    </fill>
    <fill>
      <patternFill patternType="solid">
        <fgColor rgb="FFED7D31"/>
        <bgColor indexed="64"/>
      </patternFill>
    </fill>
    <fill>
      <patternFill patternType="solid">
        <fgColor rgb="FFFBE5D6"/>
        <bgColor indexed="64"/>
      </patternFill>
    </fill>
    <fill>
      <patternFill patternType="solid">
        <fgColor rgb="FFF2F7FB"/>
        <bgColor indexed="64"/>
      </patternFill>
    </fill>
    <fill>
      <patternFill patternType="solid">
        <fgColor rgb="FFF2F7F0"/>
        <bgColor indexed="64"/>
      </patternFill>
    </fill>
    <fill>
      <patternFill patternType="solid">
        <fgColor rgb="FFBF8F00"/>
        <bgColor indexed="64"/>
      </patternFill>
    </fill>
    <fill>
      <patternFill patternType="solid">
        <fgColor rgb="FFF5F0FA"/>
        <bgColor indexed="64"/>
      </patternFill>
    </fill>
    <fill>
      <patternFill patternType="solid">
        <fgColor rgb="FFFFF8E8"/>
        <bgColor indexed="64"/>
      </patternFill>
    </fill>
    <fill>
      <patternFill patternType="solid">
        <fgColor theme="0"/>
        <bgColor indexed="64"/>
      </patternFill>
    </fill>
    <fill>
      <patternFill patternType="solid">
        <fgColor rgb="FFF2F2F2"/>
        <bgColor indexed="64"/>
      </patternFill>
    </fill>
    <fill>
      <patternFill patternType="solid">
        <fgColor rgb="FF1D2330"/>
        <bgColor indexed="64"/>
      </patternFill>
    </fill>
    <fill>
      <patternFill patternType="solid">
        <fgColor rgb="FFE2E3E5"/>
        <bgColor indexed="64"/>
      </patternFill>
    </fill>
    <fill>
      <patternFill patternType="solid">
        <fgColor rgb="FFFCE4D6"/>
        <bgColor indexed="64"/>
      </patternFill>
    </fill>
    <fill>
      <patternFill patternType="solid">
        <fgColor rgb="FFC6E0B4"/>
        <bgColor indexed="64"/>
      </patternFill>
    </fill>
    <fill>
      <patternFill patternType="solid">
        <fgColor rgb="FFFCE5CD"/>
        <bgColor indexed="64"/>
      </patternFill>
    </fill>
  </fills>
  <borders count="37">
    <border>
      <left/>
      <right/>
      <top/>
      <bottom/>
      <diagonal/>
    </border>
    <border>
      <left/>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9E2F3"/>
      </top>
      <bottom style="thin">
        <color rgb="FFD9E2F3"/>
      </bottom>
      <diagonal/>
    </border>
    <border>
      <left/>
      <right/>
      <top style="thin">
        <color rgb="FFD9E2F3"/>
      </top>
      <bottom/>
      <diagonal/>
    </border>
    <border>
      <left/>
      <right/>
      <top style="medium">
        <color rgb="FF4472C4"/>
      </top>
      <bottom style="thin">
        <color rgb="FFD9E2F3"/>
      </bottom>
      <diagonal/>
    </border>
    <border>
      <left/>
      <right/>
      <top style="thin">
        <color rgb="FFE2EFDA"/>
      </top>
      <bottom style="thin">
        <color rgb="FFE2EFDA"/>
      </bottom>
      <diagonal/>
    </border>
    <border>
      <left/>
      <right/>
      <top style="thin">
        <color rgb="FFE2EFDA"/>
      </top>
      <bottom style="medium">
        <color rgb="FF548235"/>
      </bottom>
      <diagonal/>
    </border>
    <border>
      <left/>
      <right/>
      <top style="medium">
        <color rgb="FF548235"/>
      </top>
      <bottom style="thin">
        <color rgb="FFE2EFDA"/>
      </bottom>
      <diagonal/>
    </border>
    <border>
      <left/>
      <right/>
      <top style="medium">
        <color rgb="FF2F5496"/>
      </top>
      <bottom style="thin">
        <color rgb="FFD9E2F3"/>
      </bottom>
      <diagonal/>
    </border>
    <border>
      <left/>
      <right/>
      <top style="double">
        <color rgb="FFC00000"/>
      </top>
      <bottom style="medium">
        <color rgb="FF4472C4"/>
      </bottom>
      <diagonal/>
    </border>
    <border>
      <left/>
      <right/>
      <top/>
      <bottom style="thin">
        <color rgb="FFE0D0E8"/>
      </bottom>
      <diagonal/>
    </border>
    <border>
      <left/>
      <right/>
      <top style="thin">
        <color rgb="FFE0D0E8"/>
      </top>
      <bottom style="thin">
        <color rgb="FFE0D0E8"/>
      </bottom>
      <diagonal/>
    </border>
    <border>
      <left/>
      <right/>
      <top style="thin">
        <color rgb="FFE0D0E8"/>
      </top>
      <bottom/>
      <diagonal/>
    </border>
    <border>
      <left/>
      <right/>
      <top style="thin">
        <color rgb="FFE0D0E8"/>
      </top>
      <bottom style="medium">
        <color rgb="FF7030A0"/>
      </bottom>
      <diagonal/>
    </border>
    <border>
      <left/>
      <right/>
      <top/>
      <bottom style="thin">
        <color rgb="FFF0E0C0"/>
      </bottom>
      <diagonal/>
    </border>
    <border>
      <left/>
      <right/>
      <top style="thin">
        <color rgb="FFF0E0C0"/>
      </top>
      <bottom style="thin">
        <color rgb="FFF0E0C0"/>
      </bottom>
      <diagonal/>
    </border>
    <border>
      <left/>
      <right/>
      <top style="thin">
        <color rgb="FFF0E0C0"/>
      </top>
      <bottom/>
      <diagonal/>
    </border>
    <border>
      <left/>
      <right/>
      <top style="medium">
        <color rgb="FFBF8F00"/>
      </top>
      <bottom style="medium">
        <color rgb="FFBF8F00"/>
      </bottom>
      <diagonal/>
    </border>
    <border>
      <left/>
      <right/>
      <top/>
      <bottom style="medium">
        <color auto="1"/>
      </bottom>
      <diagonal/>
    </border>
    <border>
      <left/>
      <right/>
      <top style="medium">
        <color auto="1"/>
      </top>
      <bottom style="medium">
        <color auto="1"/>
      </bottom>
      <diagonal/>
    </border>
    <border>
      <left/>
      <right/>
      <top style="thin">
        <color auto="1"/>
      </top>
      <bottom style="double">
        <color auto="1"/>
      </bottom>
      <diagonal/>
    </border>
    <border>
      <left style="medium">
        <color auto="1"/>
      </left>
      <right style="medium">
        <color auto="1"/>
      </right>
      <top style="medium">
        <color auto="1"/>
      </top>
      <bottom style="medium">
        <color auto="1"/>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s>
  <cellStyleXfs count="4">
    <xf numFmtId="0" fontId="1" fillId="0" borderId="0"/>
    <xf numFmtId="42" fontId="1" fillId="0" borderId="0"/>
    <xf numFmtId="9" fontId="1" fillId="0" borderId="0"/>
    <xf numFmtId="0" fontId="71" fillId="0" borderId="0"/>
  </cellStyleXfs>
  <cellXfs count="806">
    <xf numFmtId="0" fontId="0" fillId="0" borderId="0" pivotButton="0" quotePrefix="0" xfId="0"/>
    <xf numFmtId="0" fontId="2" fillId="2" borderId="0" pivotButton="0" quotePrefix="0" xfId="0"/>
    <xf numFmtId="0" fontId="0" fillId="2" borderId="0" pivotButton="0" quotePrefix="0" xfId="0"/>
    <xf numFmtId="0" fontId="3" fillId="0" borderId="0" pivotButton="0" quotePrefix="0" xfId="0"/>
    <xf numFmtId="0" fontId="4" fillId="3" borderId="0" pivotButton="0" quotePrefix="0" xfId="0"/>
    <xf numFmtId="0" fontId="4" fillId="3" borderId="0" applyAlignment="1" pivotButton="0" quotePrefix="0" xfId="0">
      <alignment horizontal="center"/>
    </xf>
    <xf numFmtId="0" fontId="0" fillId="4" borderId="0" pivotButton="0" quotePrefix="0" xfId="0"/>
    <xf numFmtId="0" fontId="5" fillId="5" borderId="0" applyAlignment="1" pivotButton="0" quotePrefix="0" xfId="0">
      <alignment horizontal="center"/>
    </xf>
    <xf numFmtId="0" fontId="6" fillId="0" borderId="0" pivotButton="0" quotePrefix="0" xfId="0"/>
    <xf numFmtId="164" fontId="5" fillId="5" borderId="0" applyAlignment="1" pivotButton="0" quotePrefix="0" xfId="0">
      <alignment horizontal="center"/>
    </xf>
    <xf numFmtId="0" fontId="7" fillId="3" borderId="0" pivotButton="0" quotePrefix="0" xfId="0"/>
    <xf numFmtId="165" fontId="5" fillId="5" borderId="0" applyAlignment="1" pivotButton="0" quotePrefix="0" xfId="0">
      <alignment horizontal="center"/>
    </xf>
    <xf numFmtId="166" fontId="5" fillId="5" borderId="0" applyAlignment="1" pivotButton="0" quotePrefix="0" xfId="0">
      <alignment horizontal="center"/>
    </xf>
    <xf numFmtId="0" fontId="8" fillId="4" borderId="0" pivotButton="0" quotePrefix="0" xfId="0"/>
    <xf numFmtId="165" fontId="5" fillId="4" borderId="0" applyAlignment="1" pivotButton="0" quotePrefix="0" xfId="0">
      <alignment horizontal="center"/>
    </xf>
    <xf numFmtId="0" fontId="6" fillId="4" borderId="0" pivotButton="0" quotePrefix="0" xfId="0"/>
    <xf numFmtId="1" fontId="5" fillId="5" borderId="0" applyAlignment="1" pivotButton="0" quotePrefix="0" xfId="0">
      <alignment horizontal="center"/>
    </xf>
    <xf numFmtId="0" fontId="9" fillId="4" borderId="0" pivotButton="0" quotePrefix="0" xfId="0"/>
    <xf numFmtId="0" fontId="10" fillId="5" borderId="0" applyAlignment="1" pivotButton="0" quotePrefix="0" xfId="0">
      <alignment horizontal="center"/>
    </xf>
    <xf numFmtId="0" fontId="11" fillId="6" borderId="0" pivotButton="0" quotePrefix="0" xfId="0"/>
    <xf numFmtId="164" fontId="10" fillId="5" borderId="0" applyAlignment="1" pivotButton="0" quotePrefix="0" xfId="0">
      <alignment horizontal="center"/>
    </xf>
    <xf numFmtId="0" fontId="12" fillId="2" borderId="0" pivotButton="0" quotePrefix="0" xfId="0"/>
    <xf numFmtId="0" fontId="13" fillId="3" borderId="0" pivotButton="0" quotePrefix="0" xfId="0"/>
    <xf numFmtId="0" fontId="13" fillId="3" borderId="0" applyAlignment="1" pivotButton="0" quotePrefix="0" xfId="0">
      <alignment horizontal="center"/>
    </xf>
    <xf numFmtId="164" fontId="14" fillId="6" borderId="0" applyAlignment="1" pivotButton="0" quotePrefix="0" xfId="0">
      <alignment horizontal="center"/>
    </xf>
    <xf numFmtId="0" fontId="15" fillId="7" borderId="0" pivotButton="0" quotePrefix="0" xfId="0"/>
    <xf numFmtId="164" fontId="15" fillId="7" borderId="0" applyAlignment="1" pivotButton="0" quotePrefix="0" xfId="0">
      <alignment horizontal="center"/>
    </xf>
    <xf numFmtId="0" fontId="0" fillId="6" borderId="0" pivotButton="0" quotePrefix="0" xfId="0"/>
    <xf numFmtId="0" fontId="0" fillId="3" borderId="0" pivotButton="0" quotePrefix="0" xfId="0"/>
    <xf numFmtId="0" fontId="15" fillId="4" borderId="0" pivotButton="0" quotePrefix="0" xfId="0"/>
    <xf numFmtId="0" fontId="16" fillId="2" borderId="0" pivotButton="0" quotePrefix="0" xfId="0"/>
    <xf numFmtId="164" fontId="16" fillId="2" borderId="0" applyAlignment="1" pivotButton="0" quotePrefix="0" xfId="0">
      <alignment horizontal="center"/>
    </xf>
    <xf numFmtId="0" fontId="17" fillId="6" borderId="0" pivotButton="0" quotePrefix="0" xfId="0"/>
    <xf numFmtId="0" fontId="18" fillId="6" borderId="0" applyAlignment="1" pivotButton="0" quotePrefix="0" xfId="0">
      <alignment horizontal="center"/>
    </xf>
    <xf numFmtId="0" fontId="19" fillId="3" borderId="0" applyAlignment="1" pivotButton="0" quotePrefix="0" xfId="0">
      <alignment horizontal="center"/>
    </xf>
    <xf numFmtId="0" fontId="14" fillId="4" borderId="0" pivotButton="0" quotePrefix="0" xfId="0"/>
    <xf numFmtId="0" fontId="20" fillId="4" borderId="0" pivotButton="0" quotePrefix="0" xfId="0"/>
    <xf numFmtId="3" fontId="21" fillId="0" borderId="0" applyAlignment="1" pivotButton="0" quotePrefix="0" xfId="0">
      <alignment horizontal="center"/>
    </xf>
    <xf numFmtId="2" fontId="21" fillId="0" borderId="0" applyAlignment="1" pivotButton="0" quotePrefix="0" xfId="0">
      <alignment horizontal="center"/>
    </xf>
    <xf numFmtId="0" fontId="22" fillId="7" borderId="0" pivotButton="0" quotePrefix="0" xfId="0"/>
    <xf numFmtId="0" fontId="23" fillId="7" borderId="0" applyAlignment="1" pivotButton="0" quotePrefix="0" xfId="0">
      <alignment horizontal="center"/>
    </xf>
    <xf numFmtId="0" fontId="24" fillId="7" borderId="0" applyAlignment="1" pivotButton="0" quotePrefix="0" xfId="0">
      <alignment horizontal="center"/>
    </xf>
    <xf numFmtId="0" fontId="25" fillId="5" borderId="0" applyAlignment="1" pivotButton="0" quotePrefix="0" xfId="0">
      <alignment horizontal="center"/>
    </xf>
    <xf numFmtId="0" fontId="13" fillId="2" borderId="0" pivotButton="0" quotePrefix="0" xfId="0"/>
    <xf numFmtId="164" fontId="21" fillId="0" borderId="0" applyAlignment="1" pivotButton="0" quotePrefix="0" xfId="0">
      <alignment horizontal="center"/>
    </xf>
    <xf numFmtId="164" fontId="26" fillId="0" borderId="0" applyAlignment="1" pivotButton="0" quotePrefix="0" xfId="0">
      <alignment horizontal="center"/>
    </xf>
    <xf numFmtId="164" fontId="13" fillId="2" borderId="0" applyAlignment="1" pivotButton="0" quotePrefix="0" xfId="0">
      <alignment horizontal="center"/>
    </xf>
    <xf numFmtId="164" fontId="23" fillId="0" borderId="0" applyAlignment="1" pivotButton="0" quotePrefix="0" xfId="0">
      <alignment horizontal="center"/>
    </xf>
    <xf numFmtId="0" fontId="19" fillId="2" borderId="0" applyAlignment="1" pivotButton="0" quotePrefix="0" xfId="0">
      <alignment horizontal="center"/>
    </xf>
    <xf numFmtId="1" fontId="10" fillId="5" borderId="0" applyAlignment="1" pivotButton="0" quotePrefix="0" xfId="0">
      <alignment horizontal="center"/>
    </xf>
    <xf numFmtId="3" fontId="27" fillId="0" borderId="0" applyAlignment="1" pivotButton="0" quotePrefix="0" xfId="0">
      <alignment horizontal="center"/>
    </xf>
    <xf numFmtId="3" fontId="23" fillId="0" borderId="0" applyAlignment="1" pivotButton="0" quotePrefix="0" xfId="0">
      <alignment horizontal="center"/>
    </xf>
    <xf numFmtId="3" fontId="28" fillId="0" borderId="0" applyAlignment="1" pivotButton="0" quotePrefix="0" xfId="0">
      <alignment horizontal="center"/>
    </xf>
    <xf numFmtId="3" fontId="13" fillId="2" borderId="0" applyAlignment="1" pivotButton="0" quotePrefix="0" xfId="0">
      <alignment horizontal="center"/>
    </xf>
    <xf numFmtId="3" fontId="29" fillId="0" borderId="0" applyAlignment="1" pivotButton="0" quotePrefix="0" xfId="0">
      <alignment horizontal="center"/>
    </xf>
    <xf numFmtId="165" fontId="23" fillId="0" borderId="0" applyAlignment="1" pivotButton="0" quotePrefix="0" xfId="0">
      <alignment horizontal="center"/>
    </xf>
    <xf numFmtId="0" fontId="17" fillId="0" borderId="0" applyAlignment="1" pivotButton="0" quotePrefix="0" xfId="0">
      <alignment horizontal="center"/>
    </xf>
    <xf numFmtId="164" fontId="27" fillId="0" borderId="0" applyAlignment="1" pivotButton="0" quotePrefix="0" xfId="0">
      <alignment horizontal="center"/>
    </xf>
    <xf numFmtId="167" fontId="23" fillId="0" borderId="0" applyAlignment="1" pivotButton="0" quotePrefix="0" xfId="0">
      <alignment horizontal="center"/>
    </xf>
    <xf numFmtId="0" fontId="22" fillId="0" borderId="0" pivotButton="0" quotePrefix="0" xfId="0"/>
    <xf numFmtId="0" fontId="30" fillId="0" borderId="0" pivotButton="0" quotePrefix="0" xfId="0"/>
    <xf numFmtId="0" fontId="22" fillId="4" borderId="0" pivotButton="0" quotePrefix="0" xfId="0"/>
    <xf numFmtId="164" fontId="21" fillId="0" borderId="0" pivotButton="0" quotePrefix="0" xfId="0"/>
    <xf numFmtId="164" fontId="23" fillId="4" borderId="0" pivotButton="0" quotePrefix="0" xfId="0"/>
    <xf numFmtId="164" fontId="26" fillId="0" borderId="0" pivotButton="0" quotePrefix="0" xfId="0"/>
    <xf numFmtId="0" fontId="31" fillId="4" borderId="0" pivotButton="0" quotePrefix="0" xfId="0"/>
    <xf numFmtId="0" fontId="32" fillId="0" borderId="0" applyAlignment="1" pivotButton="0" quotePrefix="0" xfId="0">
      <alignment horizontal="center"/>
    </xf>
    <xf numFmtId="168" fontId="32" fillId="0" borderId="0" applyAlignment="1" pivotButton="0" quotePrefix="0" xfId="0">
      <alignment horizontal="center"/>
    </xf>
    <xf numFmtId="164" fontId="26" fillId="4" borderId="0" pivotButton="0" quotePrefix="0" xfId="0"/>
    <xf numFmtId="164" fontId="19" fillId="2" borderId="0" pivotButton="0" quotePrefix="0" xfId="0"/>
    <xf numFmtId="165" fontId="21" fillId="0" borderId="0" pivotButton="0" quotePrefix="0" xfId="0"/>
    <xf numFmtId="166" fontId="21" fillId="0" borderId="0" pivotButton="0" quotePrefix="0" xfId="0"/>
    <xf numFmtId="165" fontId="26" fillId="0" borderId="0" pivotButton="0" quotePrefix="0" xfId="0"/>
    <xf numFmtId="0" fontId="33" fillId="3" borderId="0" pivotButton="0" quotePrefix="0" xfId="0"/>
    <xf numFmtId="0" fontId="23" fillId="4" borderId="0" pivotButton="0" quotePrefix="0" xfId="0"/>
    <xf numFmtId="0" fontId="10" fillId="4" borderId="0" applyAlignment="1" pivotButton="0" quotePrefix="0" xfId="0">
      <alignment horizontal="center"/>
    </xf>
    <xf numFmtId="0" fontId="11" fillId="4" borderId="0" pivotButton="0" quotePrefix="0" xfId="0"/>
    <xf numFmtId="166" fontId="10" fillId="5" borderId="0" applyAlignment="1" pivotButton="0" quotePrefix="0" xfId="0">
      <alignment horizontal="center"/>
    </xf>
    <xf numFmtId="1" fontId="5" fillId="5" borderId="0" applyAlignment="1" pivotButton="0" quotePrefix="0" xfId="1">
      <alignment horizontal="center"/>
    </xf>
    <xf numFmtId="0" fontId="4" fillId="4" borderId="0" applyAlignment="1" pivotButton="0" quotePrefix="0" xfId="0">
      <alignment horizontal="center"/>
    </xf>
    <xf numFmtId="0" fontId="7" fillId="4" borderId="0" pivotButton="0" quotePrefix="0" xfId="0"/>
    <xf numFmtId="0" fontId="13" fillId="4" borderId="0" applyAlignment="1" pivotButton="0" quotePrefix="0" xfId="0">
      <alignment horizontal="center"/>
    </xf>
    <xf numFmtId="0" fontId="33" fillId="4" borderId="0" pivotButton="0" quotePrefix="0" xfId="0"/>
    <xf numFmtId="3" fontId="23" fillId="6" borderId="0" applyAlignment="1" pivotButton="0" quotePrefix="0" xfId="0">
      <alignment horizontal="center"/>
    </xf>
    <xf numFmtId="3" fontId="27" fillId="6" borderId="0" applyAlignment="1" pivotButton="0" quotePrefix="0" xfId="0">
      <alignment horizontal="center"/>
    </xf>
    <xf numFmtId="0" fontId="35" fillId="8" borderId="0" pivotButton="0" quotePrefix="0" xfId="0"/>
    <xf numFmtId="0" fontId="34" fillId="0" borderId="0" pivotButton="0" quotePrefix="0" xfId="0"/>
    <xf numFmtId="0" fontId="34" fillId="4" borderId="0" pivotButton="0" quotePrefix="0" xfId="0"/>
    <xf numFmtId="0" fontId="36" fillId="0" borderId="0" pivotButton="0" quotePrefix="0" xfId="0"/>
    <xf numFmtId="0" fontId="34" fillId="9" borderId="0" pivotButton="0" quotePrefix="0" xfId="0"/>
    <xf numFmtId="0" fontId="34" fillId="4" borderId="0" applyAlignment="1" pivotButton="0" quotePrefix="0" xfId="0">
      <alignment horizontal="center"/>
    </xf>
    <xf numFmtId="169" fontId="0" fillId="0" borderId="0" pivotButton="0" quotePrefix="0" xfId="0"/>
    <xf numFmtId="169" fontId="34" fillId="0" borderId="0" pivotButton="0" quotePrefix="0" xfId="0"/>
    <xf numFmtId="169" fontId="34" fillId="0" borderId="1" pivotButton="0" quotePrefix="0" xfId="0"/>
    <xf numFmtId="170" fontId="36" fillId="0" borderId="0" pivotButton="0" quotePrefix="0" xfId="0"/>
    <xf numFmtId="169" fontId="34" fillId="9" borderId="0" pivotButton="0" quotePrefix="0" xfId="0"/>
    <xf numFmtId="169" fontId="34" fillId="9" borderId="1" pivotButton="0" quotePrefix="0" xfId="0"/>
    <xf numFmtId="171" fontId="36" fillId="0" borderId="0" pivotButton="0" quotePrefix="0" xfId="0"/>
    <xf numFmtId="3" fontId="0" fillId="0" borderId="0" pivotButton="0" quotePrefix="0" xfId="0"/>
    <xf numFmtId="164" fontId="0" fillId="0" borderId="0" pivotButton="0" quotePrefix="0" xfId="0"/>
    <xf numFmtId="170" fontId="37" fillId="0" borderId="0" pivotButton="0" quotePrefix="0" xfId="0"/>
    <xf numFmtId="3" fontId="34" fillId="0" borderId="0" pivotButton="0" quotePrefix="0" xfId="0"/>
    <xf numFmtId="164" fontId="34" fillId="0" borderId="0" pivotButton="0" quotePrefix="0" xfId="0"/>
    <xf numFmtId="0" fontId="0" fillId="8" borderId="0" pivotButton="0" quotePrefix="0" xfId="0"/>
    <xf numFmtId="0" fontId="34" fillId="0" borderId="0" applyAlignment="1" pivotButton="0" quotePrefix="0" xfId="0">
      <alignment horizontal="right"/>
    </xf>
    <xf numFmtId="0" fontId="38" fillId="10" borderId="0" applyAlignment="1" pivotButton="0" quotePrefix="0" xfId="0">
      <alignment horizontal="center"/>
    </xf>
    <xf numFmtId="0" fontId="39" fillId="0" borderId="0" pivotButton="0" quotePrefix="0" xfId="0"/>
    <xf numFmtId="0" fontId="0" fillId="0" borderId="0" applyAlignment="1" pivotButton="0" quotePrefix="0" xfId="0">
      <alignment horizontal="right"/>
    </xf>
    <xf numFmtId="0" fontId="40" fillId="0" borderId="0" pivotButton="0" quotePrefix="0" xfId="0"/>
    <xf numFmtId="0" fontId="34" fillId="11" borderId="0" applyAlignment="1" pivotButton="0" quotePrefix="0" xfId="0">
      <alignment horizontal="center"/>
    </xf>
    <xf numFmtId="0" fontId="34" fillId="12" borderId="0" applyAlignment="1" pivotButton="0" quotePrefix="0" xfId="0">
      <alignment horizontal="center"/>
    </xf>
    <xf numFmtId="0" fontId="34" fillId="13" borderId="0" applyAlignment="1" pivotButton="0" quotePrefix="0" xfId="0">
      <alignment horizontal="center"/>
    </xf>
    <xf numFmtId="0" fontId="37" fillId="0" borderId="0" pivotButton="0" quotePrefix="0" xfId="0"/>
    <xf numFmtId="0" fontId="0" fillId="14" borderId="0" applyAlignment="1" pivotButton="0" quotePrefix="0" xfId="0">
      <alignment horizontal="center"/>
    </xf>
    <xf numFmtId="0" fontId="0" fillId="15" borderId="0" applyAlignment="1" pivotButton="0" quotePrefix="0" xfId="0">
      <alignment horizontal="center"/>
    </xf>
    <xf numFmtId="0" fontId="0" fillId="16" borderId="0" applyAlignment="1" pivotButton="0" quotePrefix="0" xfId="0">
      <alignment horizontal="center"/>
    </xf>
    <xf numFmtId="165" fontId="0" fillId="14" borderId="0" applyAlignment="1" pivotButton="0" quotePrefix="0" xfId="0">
      <alignment horizontal="center"/>
    </xf>
    <xf numFmtId="165" fontId="0" fillId="15" borderId="0" applyAlignment="1" pivotButton="0" quotePrefix="0" xfId="0">
      <alignment horizontal="center"/>
    </xf>
    <xf numFmtId="165" fontId="0" fillId="16" borderId="0" applyAlignment="1" pivotButton="0" quotePrefix="0" xfId="0">
      <alignment horizontal="center"/>
    </xf>
    <xf numFmtId="164" fontId="0" fillId="14" borderId="0" applyAlignment="1" pivotButton="0" quotePrefix="0" xfId="0">
      <alignment horizontal="center"/>
    </xf>
    <xf numFmtId="164" fontId="0" fillId="15" borderId="0" applyAlignment="1" pivotButton="0" quotePrefix="0" xfId="0">
      <alignment horizontal="center"/>
    </xf>
    <xf numFmtId="164" fontId="0" fillId="16" borderId="0" applyAlignment="1" pivotButton="0" quotePrefix="0" xfId="0">
      <alignment horizontal="center"/>
    </xf>
    <xf numFmtId="171" fontId="0" fillId="14" borderId="0" applyAlignment="1" pivotButton="0" quotePrefix="0" xfId="0">
      <alignment horizontal="center"/>
    </xf>
    <xf numFmtId="171" fontId="0" fillId="15" borderId="0" applyAlignment="1" pivotButton="0" quotePrefix="0" xfId="0">
      <alignment horizontal="center"/>
    </xf>
    <xf numFmtId="171" fontId="0" fillId="16" borderId="0" applyAlignment="1" pivotButton="0" quotePrefix="0" xfId="0">
      <alignment horizontal="center"/>
    </xf>
    <xf numFmtId="0" fontId="41" fillId="0" borderId="0" pivotButton="0" quotePrefix="0" xfId="0"/>
    <xf numFmtId="165" fontId="36" fillId="0" borderId="0" pivotButton="0" quotePrefix="0" xfId="0"/>
    <xf numFmtId="172"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0" fontId="46" fillId="0" borderId="0" pivotButton="0" quotePrefix="0" xfId="0"/>
    <xf numFmtId="164" fontId="0" fillId="0" borderId="2" applyAlignment="1" pivotButton="0" quotePrefix="0" xfId="0">
      <alignment horizontal="center"/>
    </xf>
    <xf numFmtId="164" fontId="34" fillId="10" borderId="2" applyAlignment="1" pivotButton="0" quotePrefix="0" xfId="0">
      <alignment horizontal="center"/>
    </xf>
    <xf numFmtId="164" fontId="0" fillId="0" borderId="4" applyAlignment="1" pivotButton="0" quotePrefix="0" xfId="0">
      <alignment horizontal="center"/>
    </xf>
    <xf numFmtId="0" fontId="0" fillId="0" borderId="5" pivotButton="0" quotePrefix="0" xfId="0"/>
    <xf numFmtId="164" fontId="0" fillId="0" borderId="9" applyAlignment="1" pivotButton="0" quotePrefix="0" xfId="0">
      <alignment horizontal="center"/>
    </xf>
    <xf numFmtId="164" fontId="0" fillId="0" borderId="10" applyAlignment="1" pivotButton="0" quotePrefix="0" xfId="0">
      <alignment horizontal="center"/>
    </xf>
    <xf numFmtId="0" fontId="34" fillId="17" borderId="3" applyAlignment="1" pivotButton="0" quotePrefix="0" xfId="0">
      <alignment horizontal="center"/>
    </xf>
    <xf numFmtId="0" fontId="34" fillId="17" borderId="8" applyAlignment="1" pivotButton="0" quotePrefix="0" xfId="0">
      <alignment horizontal="center"/>
    </xf>
    <xf numFmtId="49" fontId="34" fillId="17" borderId="6" applyAlignment="1" pivotButton="0" quotePrefix="0" xfId="0">
      <alignment horizontal="center"/>
    </xf>
    <xf numFmtId="49" fontId="34" fillId="10" borderId="6" applyAlignment="1" pivotButton="0" quotePrefix="0" xfId="0">
      <alignment horizontal="center"/>
    </xf>
    <xf numFmtId="49" fontId="34" fillId="17" borderId="7" applyAlignment="1" pivotButton="0" quotePrefix="0" xfId="0">
      <alignment horizontal="center"/>
    </xf>
    <xf numFmtId="49" fontId="34" fillId="17" borderId="3" applyAlignment="1" pivotButton="0" quotePrefix="0" xfId="0">
      <alignment horizontal="center"/>
    </xf>
    <xf numFmtId="49" fontId="34" fillId="17" borderId="8" applyAlignment="1" pivotButton="0" quotePrefix="0" xfId="0">
      <alignment horizontal="center"/>
    </xf>
    <xf numFmtId="0" fontId="47" fillId="0" borderId="0" pivotButton="0" quotePrefix="0" xfId="0"/>
    <xf numFmtId="0" fontId="48" fillId="0" borderId="0" pivotButton="0" quotePrefix="0" xfId="0"/>
    <xf numFmtId="0" fontId="49" fillId="0" borderId="0" pivotButton="0" quotePrefix="0" xfId="0"/>
    <xf numFmtId="0" fontId="50" fillId="18" borderId="0" pivotButton="0" quotePrefix="0" xfId="0"/>
    <xf numFmtId="0" fontId="0" fillId="18" borderId="0" pivotButton="0" quotePrefix="0" xfId="0"/>
    <xf numFmtId="0" fontId="51" fillId="0" borderId="0" pivotButton="0" quotePrefix="0" xfId="0"/>
    <xf numFmtId="0" fontId="52" fillId="0" borderId="0" pivotButton="0" quotePrefix="0" xfId="0"/>
    <xf numFmtId="0" fontId="53" fillId="0" borderId="0" pivotButton="0" quotePrefix="0" xfId="0"/>
    <xf numFmtId="0" fontId="54" fillId="0" borderId="0" pivotButton="0" quotePrefix="0" xfId="0"/>
    <xf numFmtId="0" fontId="55" fillId="0" borderId="0" pivotButton="0" quotePrefix="0" xfId="0"/>
    <xf numFmtId="0" fontId="55" fillId="19" borderId="0" pivotButton="0" quotePrefix="0" xfId="0"/>
    <xf numFmtId="0" fontId="56" fillId="0" borderId="0" pivotButton="0" quotePrefix="0" xfId="0"/>
    <xf numFmtId="0" fontId="57" fillId="0" borderId="0" pivotButton="0" quotePrefix="0" xfId="0"/>
    <xf numFmtId="0" fontId="58" fillId="0" borderId="0" pivotButton="0" quotePrefix="0" xfId="0"/>
    <xf numFmtId="0" fontId="59" fillId="0" borderId="0" pivotButton="0" quotePrefix="0" xfId="0"/>
    <xf numFmtId="0" fontId="62" fillId="0" borderId="0" pivotButton="0" quotePrefix="0" xfId="0"/>
    <xf numFmtId="0" fontId="63" fillId="0" borderId="0" pivotButton="0" quotePrefix="0" xfId="0"/>
    <xf numFmtId="0" fontId="64" fillId="0" borderId="0" pivotButton="0" quotePrefix="0" xfId="0"/>
    <xf numFmtId="0" fontId="65" fillId="19" borderId="0" pivotButton="0" quotePrefix="0" xfId="0"/>
    <xf numFmtId="0" fontId="55" fillId="19" borderId="11" pivotButton="0" quotePrefix="0" xfId="0"/>
    <xf numFmtId="0" fontId="54" fillId="0" borderId="12" pivotButton="0" quotePrefix="0" xfId="0"/>
    <xf numFmtId="0" fontId="55" fillId="0" borderId="12" pivotButton="0" quotePrefix="0" xfId="0"/>
    <xf numFmtId="10" fontId="54" fillId="0" borderId="12" pivotButton="0" quotePrefix="0" xfId="0"/>
    <xf numFmtId="0" fontId="56" fillId="0" borderId="12" pivotButton="0" quotePrefix="0" xfId="0"/>
    <xf numFmtId="0" fontId="54" fillId="0" borderId="13" pivotButton="0" quotePrefix="0" xfId="0"/>
    <xf numFmtId="3" fontId="54" fillId="0" borderId="13" pivotButton="0" quotePrefix="0" xfId="0"/>
    <xf numFmtId="173" fontId="54" fillId="0" borderId="13" pivotButton="0" quotePrefix="0" xfId="0"/>
    <xf numFmtId="0" fontId="0" fillId="0" borderId="13" pivotButton="0" quotePrefix="0" xfId="0"/>
    <xf numFmtId="0" fontId="54" fillId="0" borderId="11" pivotButton="0" quotePrefix="0" xfId="0"/>
    <xf numFmtId="10" fontId="54" fillId="0" borderId="11" pivotButton="0" quotePrefix="0" xfId="0"/>
    <xf numFmtId="9" fontId="54" fillId="0" borderId="12" pivotButton="0" quotePrefix="0" xfId="0"/>
    <xf numFmtId="173" fontId="54" fillId="0" borderId="11" pivotButton="0" quotePrefix="0" xfId="0"/>
    <xf numFmtId="173" fontId="54" fillId="0" borderId="12" pivotButton="0" quotePrefix="0" xfId="0"/>
    <xf numFmtId="9" fontId="54" fillId="0" borderId="13" pivotButton="0" quotePrefix="0" xfId="0"/>
    <xf numFmtId="0" fontId="53" fillId="0" borderId="11" pivotButton="0" quotePrefix="0" xfId="0"/>
    <xf numFmtId="0" fontId="0" fillId="0" borderId="11" pivotButton="0" quotePrefix="0" xfId="0"/>
    <xf numFmtId="0" fontId="55" fillId="19" borderId="12" pivotButton="0" quotePrefix="0" xfId="0"/>
    <xf numFmtId="0" fontId="55" fillId="0" borderId="13" pivotButton="0" quotePrefix="0" xfId="0"/>
    <xf numFmtId="174" fontId="54" fillId="0" borderId="12" pivotButton="0" quotePrefix="0" xfId="0"/>
    <xf numFmtId="0" fontId="56" fillId="0" borderId="13" pivotButton="0" quotePrefix="0" xfId="0"/>
    <xf numFmtId="0" fontId="60" fillId="0" borderId="12" pivotButton="0" quotePrefix="0" xfId="0"/>
    <xf numFmtId="173" fontId="55" fillId="0" borderId="12" pivotButton="0" quotePrefix="0" xfId="0"/>
    <xf numFmtId="0" fontId="61" fillId="0" borderId="12" pivotButton="0" quotePrefix="0" xfId="0"/>
    <xf numFmtId="0" fontId="0" fillId="0" borderId="12" pivotButton="0" quotePrefix="0" xfId="0"/>
    <xf numFmtId="0" fontId="53" fillId="0" borderId="12" pivotButton="0" quotePrefix="0" xfId="0"/>
    <xf numFmtId="0" fontId="65" fillId="19" borderId="11" pivotButton="0" quotePrefix="0" xfId="0"/>
    <xf numFmtId="0" fontId="64" fillId="0" borderId="12" pivotButton="0" quotePrefix="0" xfId="0"/>
    <xf numFmtId="0" fontId="64" fillId="0" borderId="13" pivotButton="0" quotePrefix="0" xfId="0"/>
    <xf numFmtId="0" fontId="9" fillId="0" borderId="0" pivotButton="0" quotePrefix="0" xfId="0"/>
    <xf numFmtId="0" fontId="66" fillId="0" borderId="0" applyAlignment="1" pivotButton="0" quotePrefix="0" xfId="0">
      <alignment horizontal="center"/>
    </xf>
    <xf numFmtId="0" fontId="67" fillId="0" borderId="0" pivotButton="0" quotePrefix="0" xfId="0"/>
    <xf numFmtId="170" fontId="69" fillId="0" borderId="0" pivotButton="0" quotePrefix="0" xfId="0"/>
    <xf numFmtId="165" fontId="67" fillId="0" borderId="0" pivotButton="0" quotePrefix="0" xfId="0"/>
    <xf numFmtId="0" fontId="14" fillId="7" borderId="0" pivotButton="0" quotePrefix="0" xfId="0"/>
    <xf numFmtId="164" fontId="69" fillId="0" borderId="0" applyAlignment="1" pivotButton="0" quotePrefix="0" xfId="0">
      <alignment horizontal="center"/>
    </xf>
    <xf numFmtId="164" fontId="37" fillId="0" borderId="0" pivotButton="0" quotePrefix="0" xfId="0"/>
    <xf numFmtId="175" fontId="68" fillId="7" borderId="0" pivotButton="0" quotePrefix="0" xfId="0"/>
    <xf numFmtId="175" fontId="70" fillId="7" borderId="0" pivotButton="0" quotePrefix="0" xfId="0"/>
    <xf numFmtId="175" fontId="37" fillId="0" borderId="0" pivotButton="0" quotePrefix="0" xfId="0"/>
    <xf numFmtId="9" fontId="10" fillId="5" borderId="0" applyAlignment="1" pivotButton="0" quotePrefix="0" xfId="0">
      <alignment horizontal="center"/>
    </xf>
    <xf numFmtId="165" fontId="10" fillId="5" borderId="0" applyAlignment="1" pivotButton="0" quotePrefix="0" xfId="0">
      <alignment horizontal="center"/>
    </xf>
    <xf numFmtId="0" fontId="72" fillId="6" borderId="0" pivotButton="0" quotePrefix="0" xfId="0"/>
    <xf numFmtId="0" fontId="27" fillId="0" borderId="0" pivotButton="0" quotePrefix="0" xfId="0"/>
    <xf numFmtId="0" fontId="73" fillId="0" borderId="0" pivotButton="0" quotePrefix="0" xfId="0"/>
    <xf numFmtId="0" fontId="73" fillId="4" borderId="0" pivotButton="0" quotePrefix="0" xfId="0"/>
    <xf numFmtId="0" fontId="27" fillId="6" borderId="0" applyAlignment="1" pivotButton="0" quotePrefix="0" xfId="0">
      <alignment horizontal="center"/>
    </xf>
    <xf numFmtId="164" fontId="27" fillId="6" borderId="0" applyAlignment="1" pivotButton="0" quotePrefix="0" xfId="0">
      <alignment horizontal="center"/>
    </xf>
    <xf numFmtId="164" fontId="23" fillId="7" borderId="0" applyAlignment="1" pivotButton="0" quotePrefix="0" xfId="0">
      <alignment horizontal="center"/>
    </xf>
    <xf numFmtId="169" fontId="17" fillId="6" borderId="0" applyAlignment="1" pivotButton="0" quotePrefix="0" xfId="0">
      <alignment horizontal="center"/>
    </xf>
    <xf numFmtId="169" fontId="74" fillId="0" borderId="0" applyAlignment="1" pivotButton="0" quotePrefix="0" xfId="0">
      <alignment horizontal="center"/>
    </xf>
    <xf numFmtId="10" fontId="0" fillId="0" borderId="11" pivotButton="0" quotePrefix="0" xfId="0"/>
    <xf numFmtId="9" fontId="0" fillId="0" borderId="0" pivotButton="0" quotePrefix="0" xfId="0"/>
    <xf numFmtId="173" fontId="0" fillId="0" borderId="0" pivotButton="0" quotePrefix="0" xfId="0"/>
    <xf numFmtId="173" fontId="55" fillId="19" borderId="11" pivotButton="0" quotePrefix="0" xfId="0"/>
    <xf numFmtId="173" fontId="60" fillId="0" borderId="12" pivotButton="0" quotePrefix="0" xfId="0"/>
    <xf numFmtId="165" fontId="75" fillId="9" borderId="0" applyAlignment="1" pivotButton="0" quotePrefix="0" xfId="0">
      <alignment horizontal="center"/>
    </xf>
    <xf numFmtId="164" fontId="75" fillId="9" borderId="0" applyAlignment="1" pivotButton="0" quotePrefix="0" xfId="0">
      <alignment horizontal="center"/>
    </xf>
    <xf numFmtId="1" fontId="75" fillId="9" borderId="0" applyAlignment="1" pivotButton="0" quotePrefix="0" xfId="0">
      <alignment horizontal="center"/>
    </xf>
    <xf numFmtId="9" fontId="75" fillId="9" borderId="0" applyAlignment="1" pivotButton="0" quotePrefix="0" xfId="2">
      <alignment horizontal="center"/>
    </xf>
    <xf numFmtId="166" fontId="75" fillId="9" borderId="0" applyAlignment="1" pivotButton="0" quotePrefix="0" xfId="0">
      <alignment horizontal="center"/>
    </xf>
    <xf numFmtId="0" fontId="75" fillId="9" borderId="0" applyAlignment="1" pivotButton="0" quotePrefix="0" xfId="0">
      <alignment horizontal="center"/>
    </xf>
    <xf numFmtId="9" fontId="78" fillId="9" borderId="0" applyAlignment="1" pivotButton="0" quotePrefix="0" xfId="0">
      <alignment horizontal="center"/>
    </xf>
    <xf numFmtId="0" fontId="79" fillId="9" borderId="0" pivotButton="0" quotePrefix="0" xfId="0"/>
    <xf numFmtId="0" fontId="80" fillId="6" borderId="0" pivotButton="0" quotePrefix="0" xfId="3"/>
    <xf numFmtId="175" fontId="67" fillId="0" borderId="0" pivotButton="0" quotePrefix="0" xfId="0"/>
    <xf numFmtId="0" fontId="81" fillId="0" borderId="0" pivotButton="0" quotePrefix="0" xfId="3"/>
    <xf numFmtId="0" fontId="82" fillId="0" borderId="0" pivotButton="0" quotePrefix="0" xfId="0"/>
    <xf numFmtId="0" fontId="16" fillId="8" borderId="0" pivotButton="0" quotePrefix="0" xfId="0"/>
    <xf numFmtId="0" fontId="84" fillId="4" borderId="0" pivotButton="0" quotePrefix="0" xfId="0"/>
    <xf numFmtId="0" fontId="85" fillId="0" borderId="0" pivotButton="0" quotePrefix="0" xfId="0"/>
    <xf numFmtId="0" fontId="86" fillId="20" borderId="0" pivotButton="0" quotePrefix="0" xfId="0"/>
    <xf numFmtId="14" fontId="0" fillId="0" borderId="0" pivotButton="0" quotePrefix="0" xfId="0"/>
    <xf numFmtId="42" fontId="0" fillId="0" borderId="0" pivotButton="0" quotePrefix="0" xfId="1"/>
    <xf numFmtId="0" fontId="88" fillId="0" borderId="0" pivotButton="0" quotePrefix="0" xfId="0"/>
    <xf numFmtId="0" fontId="14" fillId="0" borderId="0" pivotButton="0" quotePrefix="0" xfId="0"/>
    <xf numFmtId="0" fontId="89" fillId="7" borderId="0" pivotButton="0" quotePrefix="0" xfId="0"/>
    <xf numFmtId="0" fontId="0" fillId="7" borderId="0" pivotButton="0" quotePrefix="0" xfId="0"/>
    <xf numFmtId="0" fontId="90" fillId="0" borderId="0" pivotButton="0" quotePrefix="0" xfId="0"/>
    <xf numFmtId="0" fontId="90" fillId="4" borderId="0" pivotButton="0" quotePrefix="0" xfId="0"/>
    <xf numFmtId="0" fontId="17" fillId="0" borderId="0" pivotButton="0" quotePrefix="0" xfId="0"/>
    <xf numFmtId="9" fontId="10" fillId="10" borderId="0" applyAlignment="1" pivotButton="0" quotePrefix="0" xfId="0">
      <alignment horizontal="center"/>
    </xf>
    <xf numFmtId="164" fontId="10" fillId="10" borderId="0" applyAlignment="1" pivotButton="0" quotePrefix="0" xfId="0">
      <alignment horizontal="center"/>
    </xf>
    <xf numFmtId="176" fontId="10" fillId="10" borderId="0" applyAlignment="1" pivotButton="0" quotePrefix="0" xfId="0">
      <alignment horizontal="center"/>
    </xf>
    <xf numFmtId="3" fontId="91" fillId="0" borderId="0" applyAlignment="1" pivotButton="0" quotePrefix="0" xfId="0">
      <alignment horizontal="center"/>
    </xf>
    <xf numFmtId="164" fontId="91" fillId="0" borderId="0" applyAlignment="1" pivotButton="0" quotePrefix="0" xfId="0">
      <alignment horizontal="center"/>
    </xf>
    <xf numFmtId="164" fontId="92" fillId="0" borderId="0" applyAlignment="1" pivotButton="0" quotePrefix="0" xfId="0">
      <alignment horizontal="center"/>
    </xf>
    <xf numFmtId="0" fontId="93" fillId="0" borderId="0" pivotButton="0" quotePrefix="0" xfId="0"/>
    <xf numFmtId="164" fontId="94" fillId="0" borderId="0" applyAlignment="1" pivotButton="0" quotePrefix="0" xfId="0">
      <alignment horizontal="center"/>
    </xf>
    <xf numFmtId="3" fontId="94" fillId="0" borderId="0" applyAlignment="1" pivotButton="0" quotePrefix="0" xfId="0">
      <alignment horizontal="center"/>
    </xf>
    <xf numFmtId="164" fontId="95" fillId="0" borderId="0" applyAlignment="1" pivotButton="0" quotePrefix="0" xfId="0">
      <alignment horizontal="center"/>
    </xf>
    <xf numFmtId="164" fontId="96" fillId="0" borderId="0" applyAlignment="1" pivotButton="0" quotePrefix="0" xfId="0">
      <alignment horizontal="center"/>
    </xf>
    <xf numFmtId="164" fontId="97" fillId="0" borderId="0" applyAlignment="1" pivotButton="0" quotePrefix="0" xfId="0">
      <alignment horizontal="center"/>
    </xf>
    <xf numFmtId="0" fontId="98" fillId="0" borderId="0" pivotButton="0" quotePrefix="0" xfId="0"/>
    <xf numFmtId="165" fontId="99" fillId="0" borderId="0" applyAlignment="1" pivotButton="0" quotePrefix="0" xfId="0">
      <alignment horizontal="center"/>
    </xf>
    <xf numFmtId="0" fontId="100" fillId="0" borderId="0" pivotButton="0" quotePrefix="0" xfId="0"/>
    <xf numFmtId="0" fontId="31" fillId="0" borderId="0" pivotButton="0" quotePrefix="0" xfId="0"/>
    <xf numFmtId="0" fontId="101" fillId="0" borderId="0" pivotButton="0" quotePrefix="0" xfId="0"/>
    <xf numFmtId="0" fontId="102" fillId="0" borderId="0" pivotButton="0" quotePrefix="0" xfId="0"/>
    <xf numFmtId="0" fontId="103" fillId="0" borderId="0" pivotButton="0" quotePrefix="0" xfId="0"/>
    <xf numFmtId="9" fontId="91" fillId="17" borderId="0" applyAlignment="1" pivotButton="0" quotePrefix="0" xfId="0">
      <alignment horizontal="center"/>
    </xf>
    <xf numFmtId="9" fontId="91" fillId="10" borderId="0" applyAlignment="1" pivotButton="0" quotePrefix="0" xfId="0">
      <alignment horizontal="center"/>
    </xf>
    <xf numFmtId="176" fontId="91" fillId="17" borderId="0" applyAlignment="1" pivotButton="0" quotePrefix="0" xfId="0">
      <alignment horizontal="center"/>
    </xf>
    <xf numFmtId="177" fontId="30" fillId="0" borderId="0" applyAlignment="1" pivotButton="0" quotePrefix="0" xfId="0">
      <alignment horizontal="center"/>
    </xf>
    <xf numFmtId="177" fontId="91" fillId="10" borderId="0" applyAlignment="1" pivotButton="0" quotePrefix="0" xfId="0">
      <alignment horizontal="center"/>
    </xf>
    <xf numFmtId="178" fontId="91" fillId="17" borderId="0" applyAlignment="1" pivotButton="0" quotePrefix="0" xfId="0">
      <alignment horizontal="center"/>
    </xf>
    <xf numFmtId="178" fontId="91" fillId="10" borderId="0" applyAlignment="1" pivotButton="0" quotePrefix="0" xfId="0">
      <alignment horizontal="center"/>
    </xf>
    <xf numFmtId="179" fontId="91" fillId="17" borderId="0" applyAlignment="1" pivotButton="0" quotePrefix="0" xfId="0">
      <alignment horizontal="center"/>
    </xf>
    <xf numFmtId="165" fontId="30" fillId="0" borderId="0" applyAlignment="1" pivotButton="0" quotePrefix="0" xfId="0">
      <alignment horizontal="center"/>
    </xf>
    <xf numFmtId="179" fontId="91" fillId="10" borderId="0" applyAlignment="1" pivotButton="0" quotePrefix="0" xfId="0">
      <alignment horizontal="center"/>
    </xf>
    <xf numFmtId="165" fontId="91" fillId="10" borderId="0" applyAlignment="1" pivotButton="0" quotePrefix="0" xfId="0">
      <alignment horizontal="center"/>
    </xf>
    <xf numFmtId="180" fontId="91" fillId="17" borderId="0" applyAlignment="1" pivotButton="0" quotePrefix="0" xfId="0">
      <alignment horizontal="center"/>
    </xf>
    <xf numFmtId="180" fontId="91" fillId="10" borderId="0" applyAlignment="1" pivotButton="0" quotePrefix="0" xfId="0">
      <alignment horizontal="center"/>
    </xf>
    <xf numFmtId="181" fontId="30" fillId="0" borderId="0" applyAlignment="1" pivotButton="0" quotePrefix="0" xfId="0">
      <alignment horizontal="center"/>
    </xf>
    <xf numFmtId="181" fontId="91" fillId="10" borderId="0" applyAlignment="1" pivotButton="0" quotePrefix="0" xfId="0">
      <alignment horizontal="center"/>
    </xf>
    <xf numFmtId="0" fontId="84" fillId="0" borderId="0" pivotButton="0" quotePrefix="0" xfId="0"/>
    <xf numFmtId="0" fontId="104" fillId="0" borderId="0" pivotButton="0" quotePrefix="0" xfId="0"/>
    <xf numFmtId="0" fontId="105" fillId="4" borderId="0" pivotButton="0" quotePrefix="0" xfId="0"/>
    <xf numFmtId="0" fontId="106" fillId="0" borderId="0" pivotButton="0" quotePrefix="0" xfId="0"/>
    <xf numFmtId="0" fontId="107" fillId="20" borderId="0" pivotButton="0" quotePrefix="0" xfId="0"/>
    <xf numFmtId="0" fontId="0" fillId="20" borderId="0" pivotButton="0" quotePrefix="0" xfId="0"/>
    <xf numFmtId="49" fontId="12" fillId="8" borderId="0" pivotButton="0" quotePrefix="0" xfId="0"/>
    <xf numFmtId="0" fontId="108" fillId="0" borderId="0" pivotButton="0" quotePrefix="0" xfId="0"/>
    <xf numFmtId="0" fontId="66" fillId="0" borderId="0" pivotButton="0" quotePrefix="0" xfId="0"/>
    <xf numFmtId="182" fontId="66" fillId="0" borderId="0" pivotButton="0" quotePrefix="0" xfId="0"/>
    <xf numFmtId="0" fontId="66" fillId="4" borderId="0" pivotButton="0" quotePrefix="0" xfId="0"/>
    <xf numFmtId="0" fontId="11" fillId="0" borderId="0" pivotButton="0" quotePrefix="0" xfId="0"/>
    <xf numFmtId="0" fontId="71" fillId="0" borderId="0" pivotButton="0" quotePrefix="0" xfId="3"/>
    <xf numFmtId="0" fontId="80" fillId="0" borderId="0" pivotButton="0" quotePrefix="0" xfId="3"/>
    <xf numFmtId="0" fontId="14" fillId="4" borderId="0" applyAlignment="1" pivotButton="0" quotePrefix="0" xfId="0">
      <alignment horizontal="center"/>
    </xf>
    <xf numFmtId="0" fontId="14" fillId="6" borderId="0" pivotButton="0" quotePrefix="0" xfId="0"/>
    <xf numFmtId="183" fontId="14" fillId="6" borderId="0" pivotButton="0" quotePrefix="0" xfId="0"/>
    <xf numFmtId="0" fontId="9" fillId="6" borderId="0" pivotButton="0" quotePrefix="0" xfId="0"/>
    <xf numFmtId="0" fontId="98" fillId="6" borderId="0" pivotButton="0" quotePrefix="0" xfId="0"/>
    <xf numFmtId="0" fontId="109" fillId="0" borderId="0" pivotButton="0" quotePrefix="0" xfId="3"/>
    <xf numFmtId="0" fontId="66" fillId="14" borderId="0" applyAlignment="1" pivotButton="0" quotePrefix="0" xfId="0">
      <alignment horizontal="center"/>
    </xf>
    <xf numFmtId="0" fontId="66" fillId="15" borderId="0" applyAlignment="1" pivotButton="0" quotePrefix="0" xfId="0">
      <alignment horizontal="center"/>
    </xf>
    <xf numFmtId="0" fontId="66" fillId="16" borderId="0" applyAlignment="1" pivotButton="0" quotePrefix="0" xfId="0">
      <alignment horizontal="center"/>
    </xf>
    <xf numFmtId="0" fontId="14" fillId="6" borderId="0" applyAlignment="1" pivotButton="0" quotePrefix="0" xfId="0">
      <alignment wrapText="1"/>
    </xf>
    <xf numFmtId="0" fontId="9" fillId="6" borderId="0" applyAlignment="1" pivotButton="0" quotePrefix="0" xfId="0">
      <alignment wrapText="1"/>
    </xf>
    <xf numFmtId="0" fontId="98" fillId="6" borderId="0" applyAlignment="1" pivotButton="0" quotePrefix="0" xfId="0">
      <alignment wrapText="1"/>
    </xf>
    <xf numFmtId="0" fontId="105" fillId="0" borderId="0" pivotButton="0" quotePrefix="0" xfId="0"/>
    <xf numFmtId="0" fontId="91" fillId="0" borderId="0" pivotButton="0" quotePrefix="0" xfId="0"/>
    <xf numFmtId="0" fontId="110" fillId="0" borderId="0" pivotButton="0" quotePrefix="0" xfId="0"/>
    <xf numFmtId="0" fontId="86" fillId="0" borderId="0" pivotButton="0" quotePrefix="0" xfId="0"/>
    <xf numFmtId="0" fontId="111" fillId="0" borderId="0" pivotButton="0" quotePrefix="0" xfId="0"/>
    <xf numFmtId="0" fontId="112" fillId="0" borderId="0" pivotButton="0" quotePrefix="0" xfId="0"/>
    <xf numFmtId="0" fontId="113" fillId="0" borderId="0" pivotButton="0" quotePrefix="0" xfId="0"/>
    <xf numFmtId="0" fontId="114" fillId="0" borderId="0" pivotButton="0" quotePrefix="0" xfId="0"/>
    <xf numFmtId="0" fontId="115" fillId="0" borderId="0" pivotButton="0" quotePrefix="0" xfId="0"/>
    <xf numFmtId="0" fontId="12" fillId="21" borderId="0" pivotButton="0" quotePrefix="0" xfId="0"/>
    <xf numFmtId="0" fontId="116" fillId="0" borderId="0" pivotButton="0" quotePrefix="0" xfId="0"/>
    <xf numFmtId="0" fontId="117" fillId="8" borderId="0" pivotButton="0" quotePrefix="0" xfId="0"/>
    <xf numFmtId="0" fontId="118" fillId="22" borderId="0" pivotButton="0" quotePrefix="0" xfId="0"/>
    <xf numFmtId="0" fontId="119" fillId="0" borderId="0" pivotButton="0" quotePrefix="0" xfId="0"/>
    <xf numFmtId="0" fontId="16" fillId="4" borderId="0" applyAlignment="1" pivotButton="0" quotePrefix="0" xfId="0">
      <alignment horizontal="center"/>
    </xf>
    <xf numFmtId="0" fontId="16" fillId="6" borderId="0" pivotButton="0" quotePrefix="0" xfId="0"/>
    <xf numFmtId="0" fontId="66" fillId="6" borderId="0" pivotButton="0" quotePrefix="0" xfId="0"/>
    <xf numFmtId="14" fontId="14" fillId="6" borderId="0" pivotButton="0" quotePrefix="0" xfId="0"/>
    <xf numFmtId="0" fontId="120" fillId="6" borderId="0" pivotButton="0" quotePrefix="0" xfId="0"/>
    <xf numFmtId="14" fontId="121" fillId="6" borderId="0" pivotButton="0" quotePrefix="0" xfId="0"/>
    <xf numFmtId="0" fontId="120" fillId="6" borderId="0" applyAlignment="1" pivotButton="0" quotePrefix="0" xfId="0">
      <alignment wrapText="1"/>
    </xf>
    <xf numFmtId="0" fontId="35" fillId="21" borderId="0" pivotButton="0" quotePrefix="0" xfId="0"/>
    <xf numFmtId="0" fontId="35" fillId="21" borderId="0" applyAlignment="1" pivotButton="0" quotePrefix="0" xfId="0">
      <alignment horizontal="center"/>
    </xf>
    <xf numFmtId="0" fontId="122" fillId="6" borderId="0" applyAlignment="1" pivotButton="0" quotePrefix="0" xfId="0">
      <alignment wrapText="1"/>
    </xf>
    <xf numFmtId="0" fontId="16" fillId="8" borderId="0" applyAlignment="1" pivotButton="0" quotePrefix="0" xfId="0">
      <alignment horizontal="center"/>
    </xf>
    <xf numFmtId="14" fontId="121" fillId="8" borderId="0" pivotButton="0" quotePrefix="0" xfId="0"/>
    <xf numFmtId="0" fontId="105" fillId="4" borderId="0" applyAlignment="1" pivotButton="0" quotePrefix="0" xfId="0">
      <alignment wrapText="1"/>
    </xf>
    <xf numFmtId="0" fontId="41" fillId="4" borderId="0" applyAlignment="1" pivotButton="0" quotePrefix="0" xfId="0">
      <alignment wrapText="1"/>
    </xf>
    <xf numFmtId="0" fontId="123" fillId="0" borderId="0" pivotButton="0" quotePrefix="0" xfId="0"/>
    <xf numFmtId="9" fontId="5" fillId="5" borderId="0" applyAlignment="1" pivotButton="0" quotePrefix="0" xfId="0">
      <alignment horizontal="center"/>
    </xf>
    <xf numFmtId="0" fontId="125" fillId="9" borderId="0" applyAlignment="1" pivotButton="0" quotePrefix="0" xfId="0">
      <alignment horizontal="center"/>
    </xf>
    <xf numFmtId="3" fontId="125" fillId="9" borderId="0" applyAlignment="1" pivotButton="0" quotePrefix="0" xfId="0">
      <alignment horizontal="center"/>
    </xf>
    <xf numFmtId="0" fontId="13" fillId="21" borderId="0" pivotButton="0" quotePrefix="0" xfId="0"/>
    <xf numFmtId="0" fontId="4" fillId="21" borderId="0" applyAlignment="1" pivotButton="0" quotePrefix="0" xfId="0">
      <alignment horizontal="center"/>
    </xf>
    <xf numFmtId="0" fontId="0" fillId="21" borderId="0" pivotButton="0" quotePrefix="0" xfId="0"/>
    <xf numFmtId="0" fontId="13" fillId="22" borderId="0" pivotButton="0" quotePrefix="0" xfId="0"/>
    <xf numFmtId="0" fontId="4" fillId="22" borderId="0" applyAlignment="1" pivotButton="0" quotePrefix="0" xfId="0">
      <alignment horizontal="center"/>
    </xf>
    <xf numFmtId="0" fontId="0" fillId="22" borderId="0" pivotButton="0" quotePrefix="0" xfId="0"/>
    <xf numFmtId="0" fontId="66" fillId="11" borderId="0" pivotButton="0" quotePrefix="0" xfId="0"/>
    <xf numFmtId="3" fontId="5" fillId="5" borderId="0" applyAlignment="1" pivotButton="0" quotePrefix="0" xfId="0">
      <alignment horizontal="center"/>
    </xf>
    <xf numFmtId="0" fontId="13" fillId="23" borderId="0" pivotButton="0" quotePrefix="0" xfId="0"/>
    <xf numFmtId="0" fontId="4" fillId="23" borderId="0" applyAlignment="1" pivotButton="0" quotePrefix="0" xfId="0">
      <alignment horizontal="center"/>
    </xf>
    <xf numFmtId="0" fontId="0" fillId="23" borderId="0" pivotButton="0" quotePrefix="0" xfId="0"/>
    <xf numFmtId="0" fontId="13" fillId="24" borderId="0" pivotButton="0" quotePrefix="0" xfId="0"/>
    <xf numFmtId="0" fontId="4" fillId="24" borderId="0" applyAlignment="1" pivotButton="0" quotePrefix="0" xfId="0">
      <alignment horizontal="center"/>
    </xf>
    <xf numFmtId="0" fontId="0" fillId="24" borderId="0" pivotButton="0" quotePrefix="0" xfId="0"/>
    <xf numFmtId="0" fontId="66" fillId="9" borderId="0" pivotButton="0" quotePrefix="0" xfId="0"/>
    <xf numFmtId="0" fontId="66" fillId="25" borderId="0" pivotButton="0" quotePrefix="0" xfId="0"/>
    <xf numFmtId="0" fontId="126" fillId="4" borderId="0" pivotButton="0" quotePrefix="0" xfId="0"/>
    <xf numFmtId="0" fontId="121" fillId="4" borderId="0" applyAlignment="1" pivotButton="0" quotePrefix="0" xfId="0">
      <alignment horizontal="center"/>
    </xf>
    <xf numFmtId="0" fontId="128" fillId="0" borderId="12" pivotButton="0" quotePrefix="0" xfId="0"/>
    <xf numFmtId="0" fontId="129" fillId="0" borderId="12" pivotButton="0" quotePrefix="0" xfId="0"/>
    <xf numFmtId="0" fontId="13" fillId="26" borderId="0" pivotButton="0" quotePrefix="0" xfId="0"/>
    <xf numFmtId="0" fontId="4" fillId="26" borderId="0" applyAlignment="1" pivotButton="0" quotePrefix="0" xfId="0">
      <alignment horizontal="center"/>
    </xf>
    <xf numFmtId="0" fontId="0" fillId="26" borderId="0" pivotButton="0" quotePrefix="0" xfId="0"/>
    <xf numFmtId="0" fontId="66" fillId="27" borderId="0" pivotButton="0" quotePrefix="0" xfId="0"/>
    <xf numFmtId="183" fontId="35" fillId="4" borderId="0" applyAlignment="1" pivotButton="0" quotePrefix="0" xfId="0">
      <alignment horizontal="center"/>
    </xf>
    <xf numFmtId="3" fontId="75" fillId="9" borderId="0" applyAlignment="1" pivotButton="0" quotePrefix="0" xfId="0">
      <alignment horizontal="center"/>
    </xf>
    <xf numFmtId="0" fontId="130" fillId="0" borderId="0" pivotButton="0" quotePrefix="0" xfId="0"/>
    <xf numFmtId="9" fontId="75" fillId="9" borderId="0" applyAlignment="1" pivotButton="0" quotePrefix="0" xfId="0">
      <alignment horizontal="center"/>
    </xf>
    <xf numFmtId="0" fontId="16" fillId="21" borderId="0" applyAlignment="1" pivotButton="0" quotePrefix="0" xfId="0">
      <alignment horizontal="center"/>
    </xf>
    <xf numFmtId="183" fontId="16" fillId="6" borderId="0" pivotButton="0" quotePrefix="0" xfId="0"/>
    <xf numFmtId="0" fontId="98" fillId="0" borderId="0" applyAlignment="1" pivotButton="0" quotePrefix="0" xfId="0">
      <alignment wrapText="1"/>
    </xf>
    <xf numFmtId="0" fontId="131" fillId="0" borderId="0" applyAlignment="1" pivotButton="0" quotePrefix="0" xfId="0">
      <alignment wrapText="1"/>
    </xf>
    <xf numFmtId="0" fontId="0" fillId="0" borderId="0" applyAlignment="1" pivotButton="0" quotePrefix="0" xfId="0">
      <alignment wrapText="1"/>
    </xf>
    <xf numFmtId="0" fontId="16" fillId="21" borderId="0" applyAlignment="1" pivotButton="0" quotePrefix="0" xfId="0">
      <alignment wrapText="1"/>
    </xf>
    <xf numFmtId="0" fontId="132" fillId="21" borderId="0" applyAlignment="1" pivotButton="0" quotePrefix="0" xfId="0">
      <alignment wrapText="1"/>
    </xf>
    <xf numFmtId="0" fontId="81" fillId="0" borderId="0" pivotButton="0" quotePrefix="0" xfId="0"/>
    <xf numFmtId="164" fontId="0" fillId="10" borderId="2" applyAlignment="1" pivotButton="0" quotePrefix="0" xfId="0">
      <alignment horizontal="center"/>
    </xf>
    <xf numFmtId="164" fontId="0" fillId="0" borderId="14" applyAlignment="1" pivotButton="0" quotePrefix="0" xfId="0">
      <alignment horizontal="center"/>
    </xf>
    <xf numFmtId="164" fontId="34" fillId="0" borderId="14" applyAlignment="1" pivotButton="0" quotePrefix="0" xfId="0">
      <alignment horizontal="center"/>
    </xf>
    <xf numFmtId="0" fontId="66" fillId="0" borderId="14" pivotButton="0" quotePrefix="0" xfId="0"/>
    <xf numFmtId="0" fontId="13" fillId="3" borderId="16" pivotButton="0" quotePrefix="0" xfId="0"/>
    <xf numFmtId="0" fontId="13" fillId="3" borderId="16" applyAlignment="1" pivotButton="0" quotePrefix="0" xfId="0">
      <alignment horizontal="center"/>
    </xf>
    <xf numFmtId="0" fontId="13" fillId="2" borderId="16" applyAlignment="1" pivotButton="0" quotePrefix="0" xfId="0">
      <alignment horizontal="center"/>
    </xf>
    <xf numFmtId="0" fontId="66" fillId="0" borderId="17" pivotButton="0" quotePrefix="0" xfId="0"/>
    <xf numFmtId="3" fontId="0" fillId="0" borderId="17" applyAlignment="1" pivotButton="0" quotePrefix="0" xfId="0">
      <alignment horizontal="center"/>
    </xf>
    <xf numFmtId="0" fontId="15" fillId="0" borderId="17" pivotButton="0" quotePrefix="0" xfId="0"/>
    <xf numFmtId="165" fontId="133" fillId="0" borderId="17" applyAlignment="1" pivotButton="0" quotePrefix="0" xfId="0">
      <alignment horizontal="center"/>
    </xf>
    <xf numFmtId="0" fontId="13" fillId="23" borderId="19" pivotButton="0" quotePrefix="0" xfId="0"/>
    <xf numFmtId="0" fontId="13" fillId="23" borderId="19" applyAlignment="1" pivotButton="0" quotePrefix="0" xfId="0">
      <alignment horizontal="center"/>
    </xf>
    <xf numFmtId="0" fontId="92" fillId="28" borderId="14" pivotButton="0" quotePrefix="0" xfId="0"/>
    <xf numFmtId="164" fontId="0" fillId="28" borderId="14" applyAlignment="1" pivotButton="0" quotePrefix="0" xfId="0">
      <alignment horizontal="center"/>
    </xf>
    <xf numFmtId="164" fontId="34" fillId="28" borderId="14" applyAlignment="1" pivotButton="0" quotePrefix="0" xfId="0">
      <alignment horizontal="center"/>
    </xf>
    <xf numFmtId="0" fontId="66" fillId="29" borderId="17" pivotButton="0" quotePrefix="0" xfId="0"/>
    <xf numFmtId="3" fontId="0" fillId="29" borderId="17" applyAlignment="1" pivotButton="0" quotePrefix="0" xfId="0">
      <alignment horizontal="center"/>
    </xf>
    <xf numFmtId="165" fontId="0" fillId="29" borderId="17" applyAlignment="1" pivotButton="0" quotePrefix="0" xfId="0">
      <alignment horizontal="center"/>
    </xf>
    <xf numFmtId="0" fontId="75" fillId="29" borderId="18" pivotButton="0" quotePrefix="0" xfId="0"/>
    <xf numFmtId="165" fontId="125" fillId="29" borderId="18" applyAlignment="1" pivotButton="0" quotePrefix="0" xfId="0">
      <alignment horizontal="center"/>
    </xf>
    <xf numFmtId="0" fontId="66" fillId="28" borderId="15" pivotButton="0" quotePrefix="0" xfId="0"/>
    <xf numFmtId="164" fontId="0" fillId="28" borderId="15" applyAlignment="1" pivotButton="0" quotePrefix="0" xfId="0">
      <alignment horizontal="center"/>
    </xf>
    <xf numFmtId="164" fontId="34" fillId="28" borderId="15" applyAlignment="1" pivotButton="0" quotePrefix="0" xfId="0">
      <alignment horizontal="center"/>
    </xf>
    <xf numFmtId="0" fontId="15" fillId="0" borderId="20" pivotButton="0" quotePrefix="0" xfId="0"/>
    <xf numFmtId="164" fontId="133" fillId="0" borderId="20" applyAlignment="1" pivotButton="0" quotePrefix="0" xfId="0">
      <alignment horizontal="center"/>
    </xf>
    <xf numFmtId="0" fontId="75" fillId="28" borderId="0" pivotButton="0" quotePrefix="0" xfId="0"/>
    <xf numFmtId="164" fontId="125" fillId="28" borderId="0" applyAlignment="1" pivotButton="0" quotePrefix="0" xfId="0">
      <alignment horizontal="center"/>
    </xf>
    <xf numFmtId="0" fontId="98" fillId="0" borderId="21" pivotButton="0" quotePrefix="0" xfId="0"/>
    <xf numFmtId="164" fontId="127" fillId="0" borderId="21" applyAlignment="1" pivotButton="0" quotePrefix="0" xfId="0">
      <alignment horizontal="center"/>
    </xf>
    <xf numFmtId="0" fontId="66" fillId="0" borderId="23" pivotButton="0" quotePrefix="0" xfId="0"/>
    <xf numFmtId="164" fontId="0" fillId="0" borderId="23" applyAlignment="1" pivotButton="0" quotePrefix="0" xfId="0">
      <alignment horizontal="center"/>
    </xf>
    <xf numFmtId="10" fontId="0" fillId="0" borderId="23" applyAlignment="1" pivotButton="0" quotePrefix="0" xfId="0">
      <alignment horizontal="center"/>
    </xf>
    <xf numFmtId="0" fontId="13" fillId="30" borderId="26" pivotButton="0" quotePrefix="0" xfId="0"/>
    <xf numFmtId="0" fontId="16" fillId="30" borderId="26" applyAlignment="1" pivotButton="0" quotePrefix="0" xfId="0">
      <alignment horizontal="center"/>
    </xf>
    <xf numFmtId="0" fontId="66" fillId="0" borderId="27" pivotButton="0" quotePrefix="0" xfId="0"/>
    <xf numFmtId="0" fontId="0" fillId="0" borderId="27" applyAlignment="1" pivotButton="0" quotePrefix="0" xfId="0">
      <alignment horizontal="center"/>
    </xf>
    <xf numFmtId="3" fontId="0" fillId="0" borderId="27" applyAlignment="1" pivotButton="0" quotePrefix="0" xfId="0">
      <alignment horizontal="center"/>
    </xf>
    <xf numFmtId="0" fontId="66" fillId="31" borderId="23" pivotButton="0" quotePrefix="0" xfId="0"/>
    <xf numFmtId="164" fontId="0" fillId="31" borderId="23" applyAlignment="1" pivotButton="0" quotePrefix="0" xfId="0">
      <alignment horizontal="center"/>
    </xf>
    <xf numFmtId="0" fontId="66" fillId="31" borderId="25" pivotButton="0" quotePrefix="0" xfId="0"/>
    <xf numFmtId="3" fontId="0" fillId="31" borderId="25" applyAlignment="1" pivotButton="0" quotePrefix="0" xfId="0">
      <alignment horizontal="center"/>
    </xf>
    <xf numFmtId="0" fontId="66" fillId="32" borderId="27" pivotButton="0" quotePrefix="0" xfId="0"/>
    <xf numFmtId="0" fontId="0" fillId="32" borderId="27" applyAlignment="1" pivotButton="0" quotePrefix="0" xfId="0">
      <alignment horizontal="center"/>
    </xf>
    <xf numFmtId="3" fontId="0" fillId="32" borderId="27" applyAlignment="1" pivotButton="0" quotePrefix="0" xfId="0">
      <alignment horizontal="center"/>
    </xf>
    <xf numFmtId="182" fontId="16" fillId="21" borderId="0" pivotButton="0" quotePrefix="0" xfId="0"/>
    <xf numFmtId="0" fontId="135" fillId="0" borderId="0" pivotButton="0" quotePrefix="0" xfId="0"/>
    <xf numFmtId="0" fontId="137" fillId="0" borderId="0" pivotButton="0" quotePrefix="0" xfId="0"/>
    <xf numFmtId="0" fontId="66" fillId="0" borderId="28" pivotButton="0" quotePrefix="0" xfId="0"/>
    <xf numFmtId="0" fontId="0" fillId="0" borderId="28" pivotButton="0" quotePrefix="0" xfId="0"/>
    <xf numFmtId="0" fontId="92" fillId="0" borderId="29" pivotButton="0" quotePrefix="0" xfId="0"/>
    <xf numFmtId="3" fontId="34" fillId="0" borderId="29" applyAlignment="1" pivotButton="0" quotePrefix="0" xfId="0">
      <alignment horizontal="center"/>
    </xf>
    <xf numFmtId="0" fontId="66" fillId="0" borderId="22" pivotButton="0" quotePrefix="0" xfId="0"/>
    <xf numFmtId="164" fontId="0" fillId="0" borderId="22" applyAlignment="1" pivotButton="0" quotePrefix="0" xfId="0">
      <alignment horizontal="center"/>
    </xf>
    <xf numFmtId="0" fontId="126" fillId="31" borderId="24" pivotButton="0" quotePrefix="0" xfId="0"/>
    <xf numFmtId="164" fontId="134" fillId="31" borderId="24" applyAlignment="1" pivotButton="0" quotePrefix="0" xfId="0">
      <alignment horizontal="center"/>
    </xf>
    <xf numFmtId="0" fontId="136" fillId="33" borderId="0" applyAlignment="1" pivotButton="0" quotePrefix="0" xfId="0">
      <alignment horizontal="center"/>
    </xf>
    <xf numFmtId="0" fontId="138" fillId="2" borderId="0" applyAlignment="1" pivotButton="0" quotePrefix="0" xfId="0">
      <alignment horizontal="center"/>
    </xf>
    <xf numFmtId="0" fontId="139" fillId="0" borderId="0" applyAlignment="1" pivotButton="0" quotePrefix="0" xfId="3">
      <alignment horizontal="center"/>
    </xf>
    <xf numFmtId="182" fontId="0" fillId="0" borderId="0" pivotButton="0" quotePrefix="0" xfId="0"/>
    <xf numFmtId="0" fontId="124" fillId="14" borderId="0" applyAlignment="1" pivotButton="0" quotePrefix="0" xfId="0">
      <alignment horizontal="center"/>
    </xf>
    <xf numFmtId="0" fontId="124" fillId="15" borderId="0" applyAlignment="1" pivotButton="0" quotePrefix="0" xfId="0">
      <alignment horizontal="center"/>
    </xf>
    <xf numFmtId="0" fontId="124" fillId="16" borderId="0" applyAlignment="1" pivotButton="0" quotePrefix="0" xfId="0">
      <alignment horizontal="center"/>
    </xf>
    <xf numFmtId="0" fontId="75" fillId="4" borderId="0" pivotButton="0" quotePrefix="0" xfId="0"/>
    <xf numFmtId="0" fontId="140" fillId="4" borderId="0" pivotButton="0" quotePrefix="0" xfId="0"/>
    <xf numFmtId="0" fontId="141" fillId="0" borderId="0" pivotButton="0" quotePrefix="0" xfId="0"/>
    <xf numFmtId="0" fontId="142" fillId="0" borderId="0" pivotButton="0" quotePrefix="0" xfId="0"/>
    <xf numFmtId="0" fontId="4" fillId="8" borderId="0" pivotButton="0" quotePrefix="0" xfId="0"/>
    <xf numFmtId="0" fontId="35" fillId="8" borderId="0" applyAlignment="1" pivotButton="0" quotePrefix="0" xfId="0">
      <alignment horizontal="center"/>
    </xf>
    <xf numFmtId="3" fontId="0" fillId="0" borderId="0" applyAlignment="1" pivotButton="0" quotePrefix="0" xfId="0">
      <alignment horizontal="center"/>
    </xf>
    <xf numFmtId="0" fontId="143" fillId="0" borderId="0" pivotButton="0" quotePrefix="0" xfId="0"/>
    <xf numFmtId="165" fontId="0" fillId="0" borderId="0" applyAlignment="1" pivotButton="0" quotePrefix="0" xfId="0">
      <alignment horizontal="center"/>
    </xf>
    <xf numFmtId="3" fontId="34" fillId="0" borderId="0" applyAlignment="1" pivotButton="0" quotePrefix="0" xfId="0">
      <alignment horizontal="center"/>
    </xf>
    <xf numFmtId="0" fontId="144" fillId="0" borderId="0" pivotButton="0" quotePrefix="0" xfId="0"/>
    <xf numFmtId="184" fontId="0" fillId="0" borderId="0" applyAlignment="1" pivotButton="0" quotePrefix="0" xfId="0">
      <alignment horizontal="center"/>
    </xf>
    <xf numFmtId="0" fontId="4" fillId="22" borderId="0" pivotButton="0" quotePrefix="0" xfId="0"/>
    <xf numFmtId="0" fontId="35" fillId="22" borderId="0" applyAlignment="1" pivotButton="0" quotePrefix="0" xfId="0">
      <alignment horizontal="center"/>
    </xf>
    <xf numFmtId="0" fontId="145" fillId="22" borderId="0" applyAlignment="1" pivotButton="0" quotePrefix="0" xfId="0">
      <alignment horizontal="center"/>
    </xf>
    <xf numFmtId="164" fontId="0" fillId="0" borderId="0" applyAlignment="1" pivotButton="0" quotePrefix="0" xfId="0">
      <alignment horizontal="center"/>
    </xf>
    <xf numFmtId="164" fontId="141" fillId="0" borderId="0" applyAlignment="1" pivotButton="0" quotePrefix="0" xfId="0">
      <alignment horizontal="center"/>
    </xf>
    <xf numFmtId="3" fontId="5" fillId="0" borderId="0" applyAlignment="1" pivotButton="0" quotePrefix="0" xfId="0">
      <alignment horizontal="center"/>
    </xf>
    <xf numFmtId="166" fontId="141" fillId="0" borderId="0" applyAlignment="1" pivotButton="0" quotePrefix="0" xfId="0">
      <alignment horizontal="center"/>
    </xf>
    <xf numFmtId="0" fontId="34" fillId="0" borderId="30" pivotButton="0" quotePrefix="0" xfId="0"/>
    <xf numFmtId="0" fontId="0" fillId="0" borderId="30" pivotButton="0" quotePrefix="0" xfId="0"/>
    <xf numFmtId="164" fontId="34" fillId="9" borderId="30" applyAlignment="1" pivotButton="0" quotePrefix="0" xfId="0">
      <alignment horizontal="center"/>
    </xf>
    <xf numFmtId="0" fontId="144" fillId="0" borderId="30" pivotButton="0" quotePrefix="0" xfId="0"/>
    <xf numFmtId="0" fontId="146" fillId="0" borderId="0" pivotButton="0" quotePrefix="0" xfId="0"/>
    <xf numFmtId="164" fontId="43" fillId="9" borderId="0" applyAlignment="1" pivotButton="0" quotePrefix="0" xfId="0">
      <alignment horizontal="center"/>
    </xf>
    <xf numFmtId="0" fontId="146" fillId="0" borderId="31" pivotButton="0" quotePrefix="0" xfId="0"/>
    <xf numFmtId="0" fontId="0" fillId="0" borderId="31" pivotButton="0" quotePrefix="0" xfId="0"/>
    <xf numFmtId="164" fontId="43" fillId="9" borderId="31" applyAlignment="1" pivotButton="0" quotePrefix="0" xfId="0">
      <alignment horizontal="center"/>
    </xf>
    <xf numFmtId="0" fontId="144" fillId="0" borderId="31" pivotButton="0" quotePrefix="0" xfId="0"/>
    <xf numFmtId="0" fontId="34" fillId="0" borderId="32" pivotButton="0" quotePrefix="0" xfId="0"/>
    <xf numFmtId="0" fontId="0" fillId="0" borderId="32" pivotButton="0" quotePrefix="0" xfId="0"/>
    <xf numFmtId="164" fontId="147" fillId="9" borderId="32" applyAlignment="1" pivotButton="0" quotePrefix="0" xfId="0">
      <alignment horizontal="center"/>
    </xf>
    <xf numFmtId="0" fontId="144" fillId="0" borderId="32" pivotButton="0" quotePrefix="0" xfId="0"/>
    <xf numFmtId="3" fontId="38" fillId="10" borderId="33" applyAlignment="1" pivotButton="0" quotePrefix="0" xfId="0">
      <alignment horizontal="center"/>
    </xf>
    <xf numFmtId="0" fontId="13" fillId="21" borderId="0" applyAlignment="1" pivotButton="0" quotePrefix="0" xfId="0">
      <alignment horizontal="center"/>
    </xf>
    <xf numFmtId="0" fontId="148" fillId="6" borderId="0" applyAlignment="1" pivotButton="0" quotePrefix="0" xfId="3">
      <alignment horizontal="center"/>
    </xf>
    <xf numFmtId="182" fontId="14" fillId="6" borderId="0" pivotButton="0" quotePrefix="0" xfId="0"/>
    <xf numFmtId="0" fontId="131" fillId="6" borderId="0" applyAlignment="1" pivotButton="0" quotePrefix="0" xfId="0">
      <alignment wrapText="1"/>
    </xf>
    <xf numFmtId="0" fontId="68" fillId="6" borderId="0" pivotButton="0" quotePrefix="0" xfId="0"/>
    <xf numFmtId="0" fontId="109" fillId="6" borderId="0" pivotButton="0" quotePrefix="0" xfId="3"/>
    <xf numFmtId="3" fontId="9" fillId="14" borderId="0" applyAlignment="1" pivotButton="0" quotePrefix="0" xfId="0">
      <alignment horizontal="center"/>
    </xf>
    <xf numFmtId="3" fontId="9" fillId="15" borderId="0" applyAlignment="1" pivotButton="0" quotePrefix="0" xfId="0">
      <alignment horizontal="center"/>
    </xf>
    <xf numFmtId="3" fontId="9" fillId="16" borderId="0" applyAlignment="1" pivotButton="0" quotePrefix="0" xfId="0">
      <alignment horizontal="center"/>
    </xf>
    <xf numFmtId="0" fontId="149" fillId="0" borderId="0" pivotButton="0" quotePrefix="0" xfId="0"/>
    <xf numFmtId="165" fontId="9" fillId="14" borderId="0" applyAlignment="1" pivotButton="0" quotePrefix="0" xfId="0">
      <alignment horizontal="center"/>
    </xf>
    <xf numFmtId="165" fontId="9" fillId="15" borderId="0" applyAlignment="1" pivotButton="0" quotePrefix="0" xfId="0">
      <alignment horizontal="center"/>
    </xf>
    <xf numFmtId="165" fontId="9" fillId="16" borderId="0" applyAlignment="1" pivotButton="0" quotePrefix="0" xfId="0">
      <alignment horizontal="center"/>
    </xf>
    <xf numFmtId="165" fontId="150" fillId="5" borderId="0" applyAlignment="1" pivotButton="0" quotePrefix="0" xfId="0">
      <alignment horizontal="center"/>
    </xf>
    <xf numFmtId="164" fontId="9" fillId="14" borderId="0" applyAlignment="1" pivotButton="0" quotePrefix="0" xfId="0">
      <alignment horizontal="center"/>
    </xf>
    <xf numFmtId="164" fontId="9" fillId="15" borderId="0" applyAlignment="1" pivotButton="0" quotePrefix="0" xfId="0">
      <alignment horizontal="center"/>
    </xf>
    <xf numFmtId="164" fontId="9" fillId="16" borderId="0" applyAlignment="1" pivotButton="0" quotePrefix="0" xfId="0">
      <alignment horizontal="center"/>
    </xf>
    <xf numFmtId="164" fontId="150" fillId="5" borderId="0" applyAlignment="1" pivotButton="0" quotePrefix="0" xfId="0">
      <alignment horizontal="center"/>
    </xf>
    <xf numFmtId="0" fontId="151" fillId="0" borderId="0" pivotButton="0" quotePrefix="0" xfId="0"/>
    <xf numFmtId="14" fontId="151" fillId="0" borderId="0" pivotButton="0" quotePrefix="0" xfId="0"/>
    <xf numFmtId="0" fontId="152" fillId="35" borderId="0" pivotButton="0" quotePrefix="0" xfId="0"/>
    <xf numFmtId="0" fontId="153" fillId="36" borderId="0" pivotButton="0" quotePrefix="0" xfId="0"/>
    <xf numFmtId="0" fontId="153" fillId="20" borderId="0" pivotButton="0" quotePrefix="0" xfId="0"/>
    <xf numFmtId="0" fontId="153" fillId="37" borderId="0" pivotButton="0" quotePrefix="0" xfId="0"/>
    <xf numFmtId="0" fontId="153" fillId="38" borderId="0" pivotButton="0" quotePrefix="0" xfId="0"/>
    <xf numFmtId="0" fontId="153" fillId="11" borderId="0" pivotButton="0" quotePrefix="0" xfId="0"/>
    <xf numFmtId="0" fontId="153" fillId="39" borderId="0" pivotButton="0" quotePrefix="0" xfId="0"/>
    <xf numFmtId="1" fontId="0" fillId="0" borderId="0" pivotButton="0" quotePrefix="0" xfId="0"/>
    <xf numFmtId="165" fontId="13" fillId="3" borderId="0" applyAlignment="1" pivotButton="0" quotePrefix="0" xfId="0">
      <alignment horizontal="center"/>
    </xf>
    <xf numFmtId="166" fontId="16" fillId="2" borderId="0" applyAlignment="1" pivotButton="0" quotePrefix="0" xfId="0">
      <alignment horizontal="center"/>
    </xf>
    <xf numFmtId="0" fontId="155" fillId="0" borderId="0" pivotButton="0" quotePrefix="0" xfId="0"/>
    <xf numFmtId="171" fontId="75" fillId="9" borderId="0" applyAlignment="1" pivotButton="0" quotePrefix="0" xfId="0">
      <alignment horizontal="center"/>
    </xf>
    <xf numFmtId="0" fontId="72" fillId="0" borderId="0" pivotButton="0" quotePrefix="0" xfId="0"/>
    <xf numFmtId="0" fontId="32" fillId="6" borderId="0" pivotButton="0" quotePrefix="0" xfId="0"/>
    <xf numFmtId="3" fontId="32" fillId="6" borderId="0" applyAlignment="1" pivotButton="0" quotePrefix="0" xfId="0">
      <alignment horizontal="center"/>
    </xf>
    <xf numFmtId="0" fontId="68" fillId="0" borderId="0" pivotButton="0" quotePrefix="0" xfId="0"/>
    <xf numFmtId="9" fontId="9" fillId="14" borderId="0" applyAlignment="1" pivotButton="0" quotePrefix="0" xfId="0">
      <alignment horizontal="center"/>
    </xf>
    <xf numFmtId="9" fontId="9" fillId="15" borderId="0" applyAlignment="1" pivotButton="0" quotePrefix="0" xfId="0">
      <alignment horizontal="center"/>
    </xf>
    <xf numFmtId="9" fontId="9" fillId="16" borderId="0" applyAlignment="1" pivotButton="0" quotePrefix="0" xfId="0">
      <alignment horizontal="center"/>
    </xf>
    <xf numFmtId="164" fontId="9" fillId="0" borderId="0" applyAlignment="1" pivotButton="0" quotePrefix="0" xfId="0">
      <alignment horizontal="center"/>
    </xf>
    <xf numFmtId="0" fontId="53" fillId="0" borderId="13" pivotButton="0" quotePrefix="0" xfId="0"/>
    <xf numFmtId="0" fontId="52" fillId="0" borderId="13" pivotButton="0" quotePrefix="0" xfId="0"/>
    <xf numFmtId="0" fontId="156" fillId="0" borderId="13" pivotButton="0" quotePrefix="0" xfId="0"/>
    <xf numFmtId="0" fontId="157" fillId="19" borderId="13" pivotButton="0" quotePrefix="0" xfId="0"/>
    <xf numFmtId="0" fontId="158" fillId="0" borderId="13" pivotButton="0" quotePrefix="0" xfId="0"/>
    <xf numFmtId="0" fontId="156" fillId="0" borderId="12" pivotButton="0" quotePrefix="0" xfId="0"/>
    <xf numFmtId="0" fontId="159" fillId="8" borderId="0" pivotButton="0" quotePrefix="0" xfId="0"/>
    <xf numFmtId="0" fontId="19" fillId="8" borderId="0" applyAlignment="1" pivotButton="0" quotePrefix="0" xfId="0">
      <alignment horizontal="center"/>
    </xf>
    <xf numFmtId="0" fontId="12" fillId="21" borderId="0" applyAlignment="1" pivotButton="0" quotePrefix="0" xfId="0">
      <alignment horizontal="center"/>
    </xf>
    <xf numFmtId="0" fontId="118" fillId="8" borderId="0" pivotButton="0" quotePrefix="0" xfId="0"/>
    <xf numFmtId="0" fontId="160" fillId="0" borderId="0" pivotButton="0" quotePrefix="0" xfId="0"/>
    <xf numFmtId="0" fontId="161" fillId="0" borderId="0" pivotButton="0" quotePrefix="0" xfId="0"/>
    <xf numFmtId="0" fontId="162" fillId="0" borderId="0" pivotButton="0" quotePrefix="0" xfId="0"/>
    <xf numFmtId="0" fontId="163" fillId="0" borderId="0" pivotButton="0" quotePrefix="0" xfId="0"/>
    <xf numFmtId="0" fontId="164" fillId="0" borderId="0" pivotButton="0" quotePrefix="0" xfId="0"/>
    <xf numFmtId="0" fontId="19" fillId="2" borderId="34" applyAlignment="1" pivotButton="0" quotePrefix="0" xfId="0">
      <alignment horizontal="center"/>
    </xf>
    <xf numFmtId="0" fontId="21" fillId="0" borderId="35" pivotButton="0" quotePrefix="0" xfId="0"/>
    <xf numFmtId="0" fontId="21" fillId="0" borderId="35" applyAlignment="1" pivotButton="0" quotePrefix="0" xfId="0">
      <alignment horizontal="center"/>
    </xf>
    <xf numFmtId="0" fontId="21" fillId="0" borderId="36" pivotButton="0" quotePrefix="0" xfId="0"/>
    <xf numFmtId="0" fontId="21" fillId="0" borderId="36" applyAlignment="1" pivotButton="0" quotePrefix="0" xfId="0">
      <alignment horizontal="center"/>
    </xf>
    <xf numFmtId="0" fontId="19" fillId="3" borderId="34" applyAlignment="1" pivotButton="0" quotePrefix="0" xfId="0">
      <alignment horizontal="left"/>
    </xf>
    <xf numFmtId="0" fontId="19" fillId="3" borderId="34" applyAlignment="1" pivotButton="0" quotePrefix="0" xfId="0">
      <alignment horizontal="center"/>
    </xf>
    <xf numFmtId="0" fontId="73" fillId="4" borderId="35" pivotButton="0" quotePrefix="0" xfId="0"/>
    <xf numFmtId="0" fontId="21" fillId="4" borderId="35" applyAlignment="1" pivotButton="0" quotePrefix="0" xfId="0">
      <alignment horizontal="center"/>
    </xf>
    <xf numFmtId="0" fontId="73" fillId="6" borderId="35" pivotButton="0" quotePrefix="0" xfId="0"/>
    <xf numFmtId="0" fontId="21" fillId="6" borderId="35" applyAlignment="1" pivotButton="0" quotePrefix="0" xfId="0">
      <alignment horizontal="center"/>
    </xf>
    <xf numFmtId="165" fontId="21" fillId="6" borderId="35" applyAlignment="1" pivotButton="0" quotePrefix="0" xfId="0">
      <alignment horizontal="center"/>
    </xf>
    <xf numFmtId="2" fontId="21" fillId="4" borderId="35" applyAlignment="1" pivotButton="0" quotePrefix="0" xfId="0">
      <alignment horizontal="center"/>
    </xf>
    <xf numFmtId="166" fontId="21" fillId="6" borderId="35" applyAlignment="1" pivotButton="0" quotePrefix="0" xfId="0">
      <alignment horizontal="center"/>
    </xf>
    <xf numFmtId="9" fontId="21" fillId="4" borderId="35" applyAlignment="1" pivotButton="0" quotePrefix="0" xfId="0">
      <alignment horizontal="center"/>
    </xf>
    <xf numFmtId="1" fontId="21" fillId="6" borderId="35" applyAlignment="1" pivotButton="0" quotePrefix="0" xfId="0">
      <alignment horizontal="center"/>
    </xf>
    <xf numFmtId="9" fontId="21" fillId="6" borderId="35" applyAlignment="1" pivotButton="0" quotePrefix="0" xfId="0">
      <alignment horizontal="center"/>
    </xf>
    <xf numFmtId="0" fontId="73" fillId="4" borderId="36" pivotButton="0" quotePrefix="0" xfId="0"/>
    <xf numFmtId="168" fontId="21" fillId="4" borderId="36" applyAlignment="1" pivotButton="0" quotePrefix="0" xfId="0">
      <alignment horizontal="center"/>
    </xf>
    <xf numFmtId="0" fontId="19" fillId="2" borderId="34" applyAlignment="1" pivotButton="0" quotePrefix="0" xfId="0">
      <alignment horizontal="left"/>
    </xf>
    <xf numFmtId="0" fontId="27" fillId="34" borderId="35" pivotButton="0" quotePrefix="0" xfId="0"/>
    <xf numFmtId="3" fontId="27" fillId="34" borderId="35" applyAlignment="1" pivotButton="0" quotePrefix="0" xfId="0">
      <alignment horizontal="center"/>
    </xf>
    <xf numFmtId="176" fontId="21" fillId="34" borderId="35" applyAlignment="1" pivotButton="0" quotePrefix="0" xfId="0">
      <alignment horizontal="center"/>
    </xf>
    <xf numFmtId="0" fontId="27" fillId="6" borderId="35" pivotButton="0" quotePrefix="0" xfId="0"/>
    <xf numFmtId="164" fontId="27" fillId="6" borderId="35" applyAlignment="1" pivotButton="0" quotePrefix="0" xfId="0">
      <alignment horizontal="center"/>
    </xf>
    <xf numFmtId="176" fontId="21" fillId="6" borderId="35" applyAlignment="1" pivotButton="0" quotePrefix="0" xfId="0">
      <alignment horizontal="center"/>
    </xf>
    <xf numFmtId="164" fontId="27" fillId="34" borderId="35" applyAlignment="1" pivotButton="0" quotePrefix="0" xfId="0">
      <alignment horizontal="center"/>
    </xf>
    <xf numFmtId="164" fontId="73" fillId="6" borderId="35" applyAlignment="1" pivotButton="0" quotePrefix="0" xfId="0">
      <alignment horizontal="center"/>
    </xf>
    <xf numFmtId="165" fontId="27" fillId="34" borderId="35" applyAlignment="1" pivotButton="0" quotePrefix="0" xfId="0">
      <alignment horizontal="center"/>
    </xf>
    <xf numFmtId="0" fontId="23" fillId="9" borderId="35" pivotButton="0" quotePrefix="0" xfId="0"/>
    <xf numFmtId="185" fontId="23" fillId="9" borderId="35" applyAlignment="1" pivotButton="0" quotePrefix="0" xfId="0">
      <alignment horizontal="center"/>
    </xf>
    <xf numFmtId="185" fontId="27" fillId="6" borderId="35" applyAlignment="1" pivotButton="0" quotePrefix="0" xfId="0">
      <alignment horizontal="center"/>
    </xf>
    <xf numFmtId="0" fontId="83" fillId="9" borderId="35" pivotButton="0" quotePrefix="0" xfId="0"/>
    <xf numFmtId="164" fontId="83" fillId="9" borderId="35" applyAlignment="1" pivotButton="0" quotePrefix="0" xfId="0">
      <alignment horizontal="center"/>
    </xf>
    <xf numFmtId="176" fontId="27" fillId="34" borderId="35" applyAlignment="1" pivotButton="0" quotePrefix="0" xfId="0">
      <alignment horizontal="center"/>
    </xf>
    <xf numFmtId="185" fontId="27" fillId="34" borderId="35" applyAlignment="1" pivotButton="0" quotePrefix="0" xfId="0">
      <alignment horizontal="center"/>
    </xf>
    <xf numFmtId="0" fontId="27" fillId="6" borderId="36" pivotButton="0" quotePrefix="0" xfId="0"/>
    <xf numFmtId="185" fontId="27" fillId="6" borderId="36" applyAlignment="1" pivotButton="0" quotePrefix="0" xfId="0">
      <alignment horizontal="center"/>
    </xf>
    <xf numFmtId="176" fontId="21" fillId="6" borderId="36" applyAlignment="1" pivotButton="0" quotePrefix="0" xfId="0">
      <alignment horizontal="center"/>
    </xf>
    <xf numFmtId="0" fontId="19" fillId="23" borderId="34" applyAlignment="1" pivotButton="0" quotePrefix="0" xfId="0">
      <alignment horizontal="left"/>
    </xf>
    <xf numFmtId="0" fontId="19" fillId="23" borderId="34" applyAlignment="1" pivotButton="0" quotePrefix="0" xfId="0">
      <alignment horizontal="center"/>
    </xf>
    <xf numFmtId="0" fontId="21" fillId="29" borderId="35" pivotButton="0" quotePrefix="0" xfId="0"/>
    <xf numFmtId="2" fontId="21" fillId="29" borderId="35" applyAlignment="1" pivotButton="0" quotePrefix="0" xfId="0">
      <alignment horizontal="center"/>
    </xf>
    <xf numFmtId="0" fontId="21" fillId="6" borderId="35" pivotButton="0" quotePrefix="0" xfId="0"/>
    <xf numFmtId="164" fontId="21" fillId="29" borderId="35" applyAlignment="1" pivotButton="0" quotePrefix="0" xfId="0">
      <alignment horizontal="center"/>
    </xf>
    <xf numFmtId="0" fontId="21" fillId="29" borderId="36" pivotButton="0" quotePrefix="0" xfId="0"/>
    <xf numFmtId="9" fontId="21" fillId="29" borderId="36" applyAlignment="1" pivotButton="0" quotePrefix="0" xfId="0">
      <alignment horizontal="center"/>
    </xf>
    <xf numFmtId="164" fontId="21" fillId="6" borderId="35" applyAlignment="1" pivotButton="0" quotePrefix="0" xfId="0">
      <alignment horizontal="center"/>
    </xf>
    <xf numFmtId="164" fontId="23" fillId="9" borderId="35" applyAlignment="1" pivotButton="0" quotePrefix="0" xfId="0">
      <alignment horizontal="center"/>
    </xf>
    <xf numFmtId="0" fontId="26" fillId="9" borderId="36" pivotButton="0" quotePrefix="0" xfId="0"/>
    <xf numFmtId="164" fontId="91" fillId="9" borderId="36" applyAlignment="1" pivotButton="0" quotePrefix="0" xfId="0">
      <alignment horizontal="center"/>
    </xf>
    <xf numFmtId="0" fontId="27" fillId="28" borderId="35" pivotButton="0" quotePrefix="0" xfId="0"/>
    <xf numFmtId="164" fontId="27" fillId="28" borderId="35" applyAlignment="1" pivotButton="0" quotePrefix="0" xfId="0">
      <alignment horizontal="center"/>
    </xf>
    <xf numFmtId="0" fontId="23" fillId="28" borderId="35" pivotButton="0" quotePrefix="0" xfId="0"/>
    <xf numFmtId="164" fontId="23" fillId="28" borderId="35" applyAlignment="1" pivotButton="0" quotePrefix="0" xfId="0">
      <alignment horizontal="center"/>
    </xf>
    <xf numFmtId="165" fontId="27" fillId="6" borderId="35" applyAlignment="1" pivotButton="0" quotePrefix="0" xfId="0">
      <alignment horizontal="center"/>
    </xf>
    <xf numFmtId="0" fontId="23" fillId="28" borderId="36" pivotButton="0" quotePrefix="0" xfId="0"/>
    <xf numFmtId="185" fontId="23" fillId="28" borderId="36" applyAlignment="1" pivotButton="0" quotePrefix="0" xfId="0">
      <alignment horizontal="center"/>
    </xf>
    <xf numFmtId="0" fontId="26" fillId="4" borderId="35" pivotButton="0" quotePrefix="0" xfId="0"/>
    <xf numFmtId="0" fontId="26" fillId="6" borderId="35" pivotButton="0" quotePrefix="0" xfId="0"/>
    <xf numFmtId="0" fontId="26" fillId="4" borderId="36" pivotButton="0" quotePrefix="0" xfId="0"/>
    <xf numFmtId="185" fontId="21" fillId="6" borderId="35" applyAlignment="1" pivotButton="0" quotePrefix="0" xfId="0">
      <alignment horizontal="center"/>
    </xf>
    <xf numFmtId="0" fontId="21" fillId="31" borderId="35" pivotButton="0" quotePrefix="0" xfId="0"/>
    <xf numFmtId="0" fontId="26" fillId="31" borderId="35" pivotButton="0" quotePrefix="0" xfId="0"/>
    <xf numFmtId="164" fontId="26" fillId="31" borderId="35" applyAlignment="1" pivotButton="0" quotePrefix="0" xfId="0">
      <alignment horizontal="center"/>
    </xf>
    <xf numFmtId="0" fontId="26" fillId="31" borderId="36" pivotButton="0" quotePrefix="0" xfId="0"/>
    <xf numFmtId="0" fontId="21" fillId="7" borderId="35" pivotButton="0" quotePrefix="0" xfId="0"/>
    <xf numFmtId="0" fontId="23" fillId="28" borderId="0" pivotButton="0" quotePrefix="0" xfId="0"/>
    <xf numFmtId="185" fontId="23" fillId="28" borderId="0" applyAlignment="1" pivotButton="0" quotePrefix="0" xfId="0">
      <alignment horizontal="center"/>
    </xf>
    <xf numFmtId="0" fontId="71" fillId="0" borderId="0" applyAlignment="1" pivotButton="0" quotePrefix="0" xfId="3">
      <alignment horizontal="center"/>
    </xf>
    <xf numFmtId="185" fontId="118" fillId="8" borderId="0" applyAlignment="1" pivotButton="0" quotePrefix="0" xfId="0">
      <alignment horizontal="center"/>
    </xf>
    <xf numFmtId="185" fontId="19" fillId="3" borderId="0" applyAlignment="1" pivotButton="0" quotePrefix="0" xfId="0">
      <alignment horizontal="center"/>
    </xf>
    <xf numFmtId="0" fontId="19" fillId="3" borderId="0" applyAlignment="1" pivotButton="0" quotePrefix="0" xfId="0">
      <alignment horizontal="left"/>
    </xf>
    <xf numFmtId="185" fontId="23" fillId="4" borderId="0" applyAlignment="1" pivotButton="0" quotePrefix="0" xfId="0">
      <alignment horizontal="center"/>
    </xf>
    <xf numFmtId="164" fontId="23" fillId="4" borderId="0" applyAlignment="1" pivotButton="0" quotePrefix="0" xfId="0">
      <alignment horizontal="center"/>
    </xf>
    <xf numFmtId="0" fontId="23" fillId="6" borderId="0" pivotButton="0" quotePrefix="0" xfId="0"/>
    <xf numFmtId="185" fontId="23" fillId="6" borderId="0" applyAlignment="1" pivotButton="0" quotePrefix="0" xfId="0">
      <alignment horizontal="center"/>
    </xf>
    <xf numFmtId="164" fontId="23" fillId="6" borderId="0" applyAlignment="1" pivotButton="0" quotePrefix="0" xfId="0">
      <alignment horizontal="center"/>
    </xf>
    <xf numFmtId="0" fontId="165" fillId="28" borderId="0" pivotButton="0" quotePrefix="0" xfId="0"/>
    <xf numFmtId="0" fontId="166" fillId="28" borderId="0" pivotButton="0" quotePrefix="0" xfId="0"/>
    <xf numFmtId="0" fontId="154" fillId="31" borderId="0" pivotButton="0" quotePrefix="0" xfId="0"/>
    <xf numFmtId="185" fontId="23" fillId="31" borderId="0" applyAlignment="1" pivotButton="0" quotePrefix="0" xfId="0">
      <alignment horizontal="center"/>
    </xf>
    <xf numFmtId="164" fontId="154" fillId="31" borderId="0" applyAlignment="1" pivotButton="0" quotePrefix="0" xfId="0">
      <alignment horizontal="center"/>
    </xf>
    <xf numFmtId="0" fontId="154" fillId="6" borderId="0" pivotButton="0" quotePrefix="0" xfId="0"/>
    <xf numFmtId="185" fontId="154" fillId="6" borderId="0" applyAlignment="1" pivotButton="0" quotePrefix="0" xfId="0">
      <alignment horizontal="center"/>
    </xf>
    <xf numFmtId="164" fontId="154" fillId="6" borderId="0" applyAlignment="1" pivotButton="0" quotePrefix="0" xfId="0">
      <alignment horizontal="center"/>
    </xf>
    <xf numFmtId="0" fontId="23" fillId="31" borderId="0" pivotButton="0" quotePrefix="0" xfId="0"/>
    <xf numFmtId="164" fontId="23" fillId="31" borderId="0" applyAlignment="1" pivotButton="0" quotePrefix="0" xfId="0">
      <alignment horizontal="center"/>
    </xf>
    <xf numFmtId="0" fontId="154" fillId="7" borderId="0" pivotButton="0" quotePrefix="0" xfId="0"/>
    <xf numFmtId="3" fontId="154" fillId="7" borderId="0" applyAlignment="1" pivotButton="0" quotePrefix="0" xfId="0">
      <alignment horizontal="center"/>
    </xf>
    <xf numFmtId="3" fontId="154" fillId="6" borderId="0" applyAlignment="1" pivotButton="0" quotePrefix="0" xfId="0">
      <alignment horizontal="center"/>
    </xf>
    <xf numFmtId="0" fontId="23" fillId="9" borderId="0" pivotButton="0" quotePrefix="0" xfId="0"/>
    <xf numFmtId="3" fontId="23" fillId="9" borderId="0" applyAlignment="1" pivotButton="0" quotePrefix="0" xfId="0">
      <alignment horizontal="center"/>
    </xf>
    <xf numFmtId="0" fontId="22" fillId="28" borderId="0" pivotButton="0" quotePrefix="0" xfId="0"/>
    <xf numFmtId="0" fontId="86" fillId="28" borderId="0" pivotButton="0" quotePrefix="0" xfId="0"/>
    <xf numFmtId="0" fontId="167" fillId="28" borderId="0" pivotButton="0" quotePrefix="0" xfId="0"/>
    <xf numFmtId="0" fontId="164" fillId="28" borderId="0" pivotButton="0" quotePrefix="0" xfId="0"/>
    <xf numFmtId="0" fontId="117" fillId="2" borderId="0" pivotButton="0" quotePrefix="0" xfId="0"/>
    <xf numFmtId="0" fontId="123" fillId="0" borderId="0" pivotButton="0" quotePrefix="0" xfId="0"/>
    <xf numFmtId="0" fontId="16" fillId="21" borderId="0" applyAlignment="1" pivotButton="0" quotePrefix="0" xfId="0">
      <alignment horizontal="center"/>
    </xf>
    <xf numFmtId="0" fontId="87" fillId="20" borderId="0" applyAlignment="1" pivotButton="0" quotePrefix="0" xfId="3">
      <alignment horizontal="center" wrapText="1"/>
    </xf>
    <xf numFmtId="0" fontId="83" fillId="20" borderId="0" applyAlignment="1" pivotButton="0" quotePrefix="0" xfId="0">
      <alignment horizontal="center" wrapText="1"/>
    </xf>
    <xf numFmtId="0" fontId="156" fillId="0" borderId="0" pivotButton="0" quotePrefix="0" xfId="0"/>
    <xf numFmtId="0" fontId="168" fillId="3" borderId="0" pivotButton="0" quotePrefix="0" xfId="0"/>
    <xf numFmtId="0" fontId="158" fillId="0" borderId="0" pivotButton="0" quotePrefix="0" xfId="0"/>
    <xf numFmtId="0" fontId="157" fillId="0" borderId="0" pivotButton="0" quotePrefix="0" xfId="0"/>
    <xf numFmtId="186" fontId="0" fillId="0" borderId="0" pivotButton="0" quotePrefix="0" xfId="0"/>
    <xf numFmtId="164" fontId="0" fillId="28" borderId="14" applyAlignment="1" pivotButton="0" quotePrefix="0" xfId="0">
      <alignment horizontal="center"/>
    </xf>
    <xf numFmtId="164" fontId="34" fillId="28" borderId="14" applyAlignment="1" pivotButton="0" quotePrefix="0" xfId="0">
      <alignment horizontal="center"/>
    </xf>
    <xf numFmtId="164" fontId="0" fillId="0" borderId="14" applyAlignment="1" pivotButton="0" quotePrefix="0" xfId="0">
      <alignment horizontal="center"/>
    </xf>
    <xf numFmtId="164" fontId="34" fillId="0" borderId="14" applyAlignment="1" pivotButton="0" quotePrefix="0" xfId="0">
      <alignment horizontal="center"/>
    </xf>
    <xf numFmtId="164" fontId="0" fillId="28" borderId="15" applyAlignment="1" pivotButton="0" quotePrefix="0" xfId="0">
      <alignment horizontal="center"/>
    </xf>
    <xf numFmtId="164" fontId="34" fillId="28" borderId="15" applyAlignment="1" pivotButton="0" quotePrefix="0" xfId="0">
      <alignment horizontal="center"/>
    </xf>
    <xf numFmtId="164" fontId="133" fillId="0" borderId="20" applyAlignment="1" pivotButton="0" quotePrefix="0" xfId="0">
      <alignment horizontal="center"/>
    </xf>
    <xf numFmtId="164" fontId="125" fillId="28" borderId="0" applyAlignment="1" pivotButton="0" quotePrefix="0" xfId="0">
      <alignment horizontal="center"/>
    </xf>
    <xf numFmtId="164" fontId="127" fillId="0" borderId="21" applyAlignment="1" pivotButton="0" quotePrefix="0" xfId="0">
      <alignment horizontal="center"/>
    </xf>
    <xf numFmtId="165" fontId="0" fillId="29" borderId="17" applyAlignment="1" pivotButton="0" quotePrefix="0" xfId="0">
      <alignment horizontal="center"/>
    </xf>
    <xf numFmtId="165" fontId="133" fillId="0" borderId="17" applyAlignment="1" pivotButton="0" quotePrefix="0" xfId="0">
      <alignment horizontal="center"/>
    </xf>
    <xf numFmtId="165" fontId="125" fillId="29" borderId="18" applyAlignment="1" pivotButton="0" quotePrefix="0" xfId="0">
      <alignment horizontal="center"/>
    </xf>
    <xf numFmtId="164" fontId="134" fillId="31" borderId="24" applyAlignment="1" pivotButton="0" quotePrefix="0" xfId="0">
      <alignment horizontal="center"/>
    </xf>
    <xf numFmtId="164" fontId="0" fillId="0" borderId="22" applyAlignment="1" pivotButton="0" quotePrefix="0" xfId="0">
      <alignment horizontal="center"/>
    </xf>
    <xf numFmtId="164" fontId="0" fillId="31" borderId="23" applyAlignment="1" pivotButton="0" quotePrefix="0" xfId="0">
      <alignment horizontal="center"/>
    </xf>
    <xf numFmtId="164" fontId="0" fillId="0" borderId="23" applyAlignment="1" pivotButton="0" quotePrefix="0" xfId="0">
      <alignment horizontal="center"/>
    </xf>
    <xf numFmtId="165" fontId="0" fillId="0" borderId="0" applyAlignment="1" pivotButton="0" quotePrefix="0" xfId="0">
      <alignment horizontal="center"/>
    </xf>
    <xf numFmtId="184" fontId="0" fillId="0" borderId="0" applyAlignment="1" pivotButton="0" quotePrefix="0" xfId="0">
      <alignment horizontal="center"/>
    </xf>
    <xf numFmtId="164" fontId="0" fillId="0" borderId="0" applyAlignment="1" pivotButton="0" quotePrefix="0" xfId="0">
      <alignment horizontal="center"/>
    </xf>
    <xf numFmtId="164" fontId="34" fillId="9" borderId="30" applyAlignment="1" pivotButton="0" quotePrefix="0" xfId="0">
      <alignment horizontal="center"/>
    </xf>
    <xf numFmtId="164" fontId="9" fillId="0" borderId="0" applyAlignment="1" pivotButton="0" quotePrefix="0" xfId="0">
      <alignment horizontal="center"/>
    </xf>
    <xf numFmtId="164" fontId="141" fillId="0" borderId="0" applyAlignment="1" pivotButton="0" quotePrefix="0" xfId="0">
      <alignment horizontal="center"/>
    </xf>
    <xf numFmtId="164" fontId="43" fillId="9" borderId="0" applyAlignment="1" pivotButton="0" quotePrefix="0" xfId="0">
      <alignment horizontal="center"/>
    </xf>
    <xf numFmtId="164" fontId="43" fillId="9" borderId="31" applyAlignment="1" pivotButton="0" quotePrefix="0" xfId="0">
      <alignment horizontal="center"/>
    </xf>
    <xf numFmtId="164" fontId="147" fillId="9" borderId="32" applyAlignment="1" pivotButton="0" quotePrefix="0" xfId="0">
      <alignment horizontal="center"/>
    </xf>
    <xf numFmtId="166" fontId="141" fillId="0" borderId="0" applyAlignment="1" pivotButton="0" quotePrefix="0" xfId="0">
      <alignment horizontal="center"/>
    </xf>
    <xf numFmtId="165" fontId="21" fillId="6" borderId="35" applyAlignment="1" pivotButton="0" quotePrefix="0" xfId="0">
      <alignment horizontal="center"/>
    </xf>
    <xf numFmtId="166" fontId="21" fillId="6" borderId="35" applyAlignment="1" pivotButton="0" quotePrefix="0" xfId="0">
      <alignment horizontal="center"/>
    </xf>
    <xf numFmtId="168" fontId="21" fillId="4" borderId="36" applyAlignment="1" pivotButton="0" quotePrefix="0" xfId="0">
      <alignment horizontal="center"/>
    </xf>
    <xf numFmtId="176" fontId="21" fillId="34" borderId="35" applyAlignment="1" pivotButton="0" quotePrefix="0" xfId="0">
      <alignment horizontal="center"/>
    </xf>
    <xf numFmtId="164" fontId="27" fillId="6" borderId="35" applyAlignment="1" pivotButton="0" quotePrefix="0" xfId="0">
      <alignment horizontal="center"/>
    </xf>
    <xf numFmtId="176" fontId="21" fillId="6" borderId="35" applyAlignment="1" pivotButton="0" quotePrefix="0" xfId="0">
      <alignment horizontal="center"/>
    </xf>
    <xf numFmtId="164" fontId="27" fillId="34" borderId="35" applyAlignment="1" pivotButton="0" quotePrefix="0" xfId="0">
      <alignment horizontal="center"/>
    </xf>
    <xf numFmtId="164" fontId="73" fillId="6" borderId="35" applyAlignment="1" pivotButton="0" quotePrefix="0" xfId="0">
      <alignment horizontal="center"/>
    </xf>
    <xf numFmtId="165" fontId="27" fillId="34" borderId="35" applyAlignment="1" pivotButton="0" quotePrefix="0" xfId="0">
      <alignment horizontal="center"/>
    </xf>
    <xf numFmtId="185" fontId="23" fillId="9" borderId="35" applyAlignment="1" pivotButton="0" quotePrefix="0" xfId="0">
      <alignment horizontal="center"/>
    </xf>
    <xf numFmtId="185" fontId="27" fillId="6" borderId="35" applyAlignment="1" pivotButton="0" quotePrefix="0" xfId="0">
      <alignment horizontal="center"/>
    </xf>
    <xf numFmtId="164" fontId="83" fillId="9" borderId="35" applyAlignment="1" pivotButton="0" quotePrefix="0" xfId="0">
      <alignment horizontal="center"/>
    </xf>
    <xf numFmtId="176" fontId="27" fillId="34" borderId="35" applyAlignment="1" pivotButton="0" quotePrefix="0" xfId="0">
      <alignment horizontal="center"/>
    </xf>
    <xf numFmtId="185" fontId="27" fillId="34" borderId="35" applyAlignment="1" pivotButton="0" quotePrefix="0" xfId="0">
      <alignment horizontal="center"/>
    </xf>
    <xf numFmtId="185" fontId="27" fillId="6" borderId="36" applyAlignment="1" pivotButton="0" quotePrefix="0" xfId="0">
      <alignment horizontal="center"/>
    </xf>
    <xf numFmtId="176" fontId="21" fillId="6" borderId="36" applyAlignment="1" pivotButton="0" quotePrefix="0" xfId="0">
      <alignment horizontal="center"/>
    </xf>
    <xf numFmtId="164" fontId="21" fillId="29" borderId="35" applyAlignment="1" pivotButton="0" quotePrefix="0" xfId="0">
      <alignment horizontal="center"/>
    </xf>
    <xf numFmtId="164" fontId="21" fillId="6" borderId="35" applyAlignment="1" pivotButton="0" quotePrefix="0" xfId="0">
      <alignment horizontal="center"/>
    </xf>
    <xf numFmtId="164" fontId="23" fillId="9" borderId="35" applyAlignment="1" pivotButton="0" quotePrefix="0" xfId="0">
      <alignment horizontal="center"/>
    </xf>
    <xf numFmtId="164" fontId="91" fillId="9" borderId="36" applyAlignment="1" pivotButton="0" quotePrefix="0" xfId="0">
      <alignment horizontal="center"/>
    </xf>
    <xf numFmtId="164" fontId="27" fillId="28" borderId="35" applyAlignment="1" pivotButton="0" quotePrefix="0" xfId="0">
      <alignment horizontal="center"/>
    </xf>
    <xf numFmtId="164" fontId="23" fillId="28" borderId="35" applyAlignment="1" pivotButton="0" quotePrefix="0" xfId="0">
      <alignment horizontal="center"/>
    </xf>
    <xf numFmtId="165" fontId="27" fillId="6" borderId="35" applyAlignment="1" pivotButton="0" quotePrefix="0" xfId="0">
      <alignment horizontal="center"/>
    </xf>
    <xf numFmtId="185" fontId="23" fillId="28" borderId="36" applyAlignment="1" pivotButton="0" quotePrefix="0" xfId="0">
      <alignment horizontal="center"/>
    </xf>
    <xf numFmtId="185" fontId="23" fillId="28" borderId="0" applyAlignment="1" pivotButton="0" quotePrefix="0" xfId="0">
      <alignment horizontal="center"/>
    </xf>
    <xf numFmtId="185" fontId="118" fillId="8" borderId="0" applyAlignment="1" pivotButton="0" quotePrefix="0" xfId="0">
      <alignment horizontal="center"/>
    </xf>
    <xf numFmtId="185" fontId="19" fillId="3" borderId="0" applyAlignment="1" pivotButton="0" quotePrefix="0" xfId="0">
      <alignment horizontal="center"/>
    </xf>
    <xf numFmtId="164" fontId="23" fillId="4" borderId="0" applyAlignment="1" pivotButton="0" quotePrefix="0" xfId="0">
      <alignment horizontal="center"/>
    </xf>
    <xf numFmtId="164" fontId="23" fillId="6" borderId="0" applyAlignment="1" pivotButton="0" quotePrefix="0" xfId="0">
      <alignment horizontal="center"/>
    </xf>
    <xf numFmtId="185" fontId="23" fillId="4" borderId="0" applyAlignment="1" pivotButton="0" quotePrefix="0" xfId="0">
      <alignment horizontal="center"/>
    </xf>
    <xf numFmtId="185" fontId="23" fillId="6" borderId="0" applyAlignment="1" pivotButton="0" quotePrefix="0" xfId="0">
      <alignment horizontal="center"/>
    </xf>
    <xf numFmtId="164" fontId="154" fillId="31" borderId="0" applyAlignment="1" pivotButton="0" quotePrefix="0" xfId="0">
      <alignment horizontal="center"/>
    </xf>
    <xf numFmtId="164" fontId="154" fillId="6" borderId="0" applyAlignment="1" pivotButton="0" quotePrefix="0" xfId="0">
      <alignment horizontal="center"/>
    </xf>
    <xf numFmtId="164" fontId="23" fillId="31" borderId="0" applyAlignment="1" pivotButton="0" quotePrefix="0" xfId="0">
      <alignment horizontal="center"/>
    </xf>
    <xf numFmtId="185" fontId="154" fillId="6" borderId="0" applyAlignment="1" pivotButton="0" quotePrefix="0" xfId="0">
      <alignment horizontal="center"/>
    </xf>
    <xf numFmtId="185" fontId="23" fillId="31" borderId="0" applyAlignment="1" pivotButton="0" quotePrefix="0" xfId="0">
      <alignment horizontal="center"/>
    </xf>
    <xf numFmtId="164" fontId="26" fillId="31" borderId="35" applyAlignment="1" pivotButton="0" quotePrefix="0" xfId="0">
      <alignment horizontal="center"/>
    </xf>
    <xf numFmtId="185" fontId="21" fillId="6" borderId="35" applyAlignment="1" pivotButton="0" quotePrefix="0" xfId="0">
      <alignment horizontal="center"/>
    </xf>
    <xf numFmtId="173" fontId="54" fillId="0" borderId="13" pivotButton="0" quotePrefix="0" xfId="0"/>
    <xf numFmtId="173" fontId="54" fillId="0" borderId="11" pivotButton="0" quotePrefix="0" xfId="0"/>
    <xf numFmtId="173" fontId="54" fillId="0" borderId="12" pivotButton="0" quotePrefix="0" xfId="0"/>
    <xf numFmtId="42" fontId="0" fillId="0" borderId="0" pivotButton="0" quotePrefix="0" xfId="1"/>
    <xf numFmtId="173" fontId="0" fillId="0" borderId="0" pivotButton="0" quotePrefix="0" xfId="0"/>
    <xf numFmtId="173" fontId="55" fillId="19" borderId="11" pivotButton="0" quotePrefix="0" xfId="0"/>
    <xf numFmtId="174" fontId="54" fillId="0" borderId="12" pivotButton="0" quotePrefix="0" xfId="0"/>
    <xf numFmtId="173" fontId="55" fillId="0" borderId="12" pivotButton="0" quotePrefix="0" xfId="0"/>
    <xf numFmtId="173" fontId="60" fillId="0" borderId="12" pivotButton="0" quotePrefix="0" xfId="0"/>
    <xf numFmtId="165" fontId="0" fillId="14" borderId="0" applyAlignment="1" pivotButton="0" quotePrefix="0" xfId="0">
      <alignment horizontal="center"/>
    </xf>
    <xf numFmtId="165" fontId="0" fillId="15" borderId="0" applyAlignment="1" pivotButton="0" quotePrefix="0" xfId="0">
      <alignment horizontal="center"/>
    </xf>
    <xf numFmtId="165" fontId="0" fillId="16" borderId="0" applyAlignment="1" pivotButton="0" quotePrefix="0" xfId="0">
      <alignment horizontal="center"/>
    </xf>
    <xf numFmtId="164" fontId="0" fillId="14" borderId="0" applyAlignment="1" pivotButton="0" quotePrefix="0" xfId="0">
      <alignment horizontal="center"/>
    </xf>
    <xf numFmtId="164" fontId="0" fillId="15" borderId="0" applyAlignment="1" pivotButton="0" quotePrefix="0" xfId="0">
      <alignment horizontal="center"/>
    </xf>
    <xf numFmtId="164" fontId="0" fillId="16" borderId="0" applyAlignment="1" pivotButton="0" quotePrefix="0" xfId="0">
      <alignment horizontal="center"/>
    </xf>
    <xf numFmtId="171" fontId="0" fillId="14" borderId="0" applyAlignment="1" pivotButton="0" quotePrefix="0" xfId="0">
      <alignment horizontal="center"/>
    </xf>
    <xf numFmtId="171" fontId="0" fillId="15" borderId="0" applyAlignment="1" pivotButton="0" quotePrefix="0" xfId="0">
      <alignment horizontal="center"/>
    </xf>
    <xf numFmtId="171" fontId="0" fillId="16" borderId="0" applyAlignment="1" pivotButton="0" quotePrefix="0" xfId="0">
      <alignment horizontal="center"/>
    </xf>
    <xf numFmtId="164" fontId="9" fillId="14" borderId="0" applyAlignment="1" pivotButton="0" quotePrefix="0" xfId="0">
      <alignment horizontal="center"/>
    </xf>
    <xf numFmtId="164" fontId="9" fillId="15" borderId="0" applyAlignment="1" pivotButton="0" quotePrefix="0" xfId="0">
      <alignment horizontal="center"/>
    </xf>
    <xf numFmtId="164" fontId="9" fillId="16" borderId="0" applyAlignment="1" pivotButton="0" quotePrefix="0" xfId="0">
      <alignment horizontal="center"/>
    </xf>
    <xf numFmtId="165" fontId="9" fillId="14" borderId="0" applyAlignment="1" pivotButton="0" quotePrefix="0" xfId="0">
      <alignment horizontal="center"/>
    </xf>
    <xf numFmtId="165" fontId="9" fillId="15" borderId="0" applyAlignment="1" pivotButton="0" quotePrefix="0" xfId="0">
      <alignment horizontal="center"/>
    </xf>
    <xf numFmtId="165" fontId="9" fillId="16" borderId="0" applyAlignment="1" pivotButton="0" quotePrefix="0" xfId="0">
      <alignment horizontal="center"/>
    </xf>
    <xf numFmtId="169" fontId="34" fillId="0" borderId="0" pivotButton="0" quotePrefix="0" xfId="0"/>
    <xf numFmtId="169" fontId="0" fillId="0" borderId="0" pivotButton="0" quotePrefix="0" xfId="0"/>
    <xf numFmtId="165" fontId="36" fillId="0" borderId="0" pivotButton="0" quotePrefix="0" xfId="0"/>
    <xf numFmtId="169" fontId="34" fillId="9" borderId="0" pivotButton="0" quotePrefix="0" xfId="0"/>
    <xf numFmtId="175" fontId="67" fillId="0" borderId="0" pivotButton="0" quotePrefix="0" xfId="0"/>
    <xf numFmtId="175" fontId="68" fillId="7" borderId="0" pivotButton="0" quotePrefix="0" xfId="0"/>
    <xf numFmtId="165" fontId="67" fillId="0" borderId="0" pivotButton="0" quotePrefix="0" xfId="0"/>
    <xf numFmtId="172" fontId="42" fillId="0" borderId="0" pivotButton="0" quotePrefix="0" xfId="0"/>
    <xf numFmtId="164" fontId="0" fillId="0" borderId="2" applyAlignment="1" pivotButton="0" quotePrefix="0" xfId="0">
      <alignment horizontal="center"/>
    </xf>
    <xf numFmtId="164" fontId="0" fillId="0" borderId="9" applyAlignment="1" pivotButton="0" quotePrefix="0" xfId="0">
      <alignment horizontal="center"/>
    </xf>
    <xf numFmtId="164" fontId="34" fillId="10" borderId="2" applyAlignment="1" pivotButton="0" quotePrefix="0" xfId="0">
      <alignment horizontal="center"/>
    </xf>
    <xf numFmtId="164" fontId="0" fillId="0" borderId="4" applyAlignment="1" pivotButton="0" quotePrefix="0" xfId="0">
      <alignment horizontal="center"/>
    </xf>
    <xf numFmtId="164" fontId="0" fillId="0" borderId="10" applyAlignment="1" pivotButton="0" quotePrefix="0" xfId="0">
      <alignment horizontal="center"/>
    </xf>
    <xf numFmtId="164" fontId="0" fillId="10" borderId="2" applyAlignment="1" pivotButton="0" quotePrefix="0" xfId="0">
      <alignment horizontal="center"/>
    </xf>
    <xf numFmtId="164" fontId="5" fillId="5" borderId="0" applyAlignment="1" pivotButton="0" quotePrefix="0" xfId="0">
      <alignment horizontal="center"/>
    </xf>
    <xf numFmtId="165" fontId="5" fillId="5" borderId="0" applyAlignment="1" pivotButton="0" quotePrefix="0" xfId="0">
      <alignment horizontal="center"/>
    </xf>
    <xf numFmtId="165" fontId="75" fillId="9" borderId="0" applyAlignment="1" pivotButton="0" quotePrefix="0" xfId="0">
      <alignment horizontal="center"/>
    </xf>
    <xf numFmtId="164" fontId="75" fillId="9" borderId="0" applyAlignment="1" pivotButton="0" quotePrefix="0" xfId="0">
      <alignment horizontal="center"/>
    </xf>
    <xf numFmtId="165" fontId="5" fillId="4" borderId="0" applyAlignment="1" pivotButton="0" quotePrefix="0" xfId="0">
      <alignment horizontal="center"/>
    </xf>
    <xf numFmtId="164" fontId="150" fillId="5" borderId="0" applyAlignment="1" pivotButton="0" quotePrefix="0" xfId="0">
      <alignment horizontal="center"/>
    </xf>
    <xf numFmtId="165" fontId="150" fillId="5" borderId="0" applyAlignment="1" pivotButton="0" quotePrefix="0" xfId="0">
      <alignment horizontal="center"/>
    </xf>
    <xf numFmtId="165" fontId="13" fillId="3" borderId="0" applyAlignment="1" pivotButton="0" quotePrefix="0" xfId="0">
      <alignment horizontal="center"/>
    </xf>
    <xf numFmtId="164" fontId="10" fillId="5" borderId="0" applyAlignment="1" pivotButton="0" quotePrefix="0" xfId="0">
      <alignment horizontal="center"/>
    </xf>
    <xf numFmtId="166" fontId="75" fillId="9" borderId="0" applyAlignment="1" pivotButton="0" quotePrefix="0" xfId="0">
      <alignment horizontal="center"/>
    </xf>
    <xf numFmtId="166" fontId="16" fillId="2" borderId="0" applyAlignment="1" pivotButton="0" quotePrefix="0" xfId="0">
      <alignment horizontal="center"/>
    </xf>
    <xf numFmtId="171" fontId="75" fillId="9" borderId="0" applyAlignment="1" pivotButton="0" quotePrefix="0" xfId="0">
      <alignment horizontal="center"/>
    </xf>
    <xf numFmtId="165" fontId="10" fillId="5" borderId="0" applyAlignment="1" pivotButton="0" quotePrefix="0" xfId="0">
      <alignment horizontal="center"/>
    </xf>
    <xf numFmtId="166" fontId="5" fillId="5" borderId="0" applyAlignment="1" pivotButton="0" quotePrefix="0" xfId="0">
      <alignment horizontal="center"/>
    </xf>
    <xf numFmtId="166" fontId="10" fillId="5" borderId="0" applyAlignment="1" pivotButton="0" quotePrefix="0" xfId="0">
      <alignment horizontal="center"/>
    </xf>
    <xf numFmtId="164" fontId="14" fillId="6" borderId="0" applyAlignment="1" pivotButton="0" quotePrefix="0" xfId="0">
      <alignment horizontal="center"/>
    </xf>
    <xf numFmtId="164" fontId="15" fillId="7" borderId="0" applyAlignment="1" pivotButton="0" quotePrefix="0" xfId="0">
      <alignment horizontal="center"/>
    </xf>
    <xf numFmtId="164" fontId="16" fillId="2" borderId="0" applyAlignment="1" pivotButton="0" quotePrefix="0" xfId="0">
      <alignment horizontal="center"/>
    </xf>
    <xf numFmtId="164" fontId="21" fillId="0" borderId="0" applyAlignment="1" pivotButton="0" quotePrefix="0" xfId="0">
      <alignment horizontal="center"/>
    </xf>
    <xf numFmtId="164" fontId="26" fillId="0" borderId="0" applyAlignment="1" pivotButton="0" quotePrefix="0" xfId="0">
      <alignment horizontal="center"/>
    </xf>
    <xf numFmtId="164" fontId="27" fillId="6" borderId="0" applyAlignment="1" pivotButton="0" quotePrefix="0" xfId="0">
      <alignment horizontal="center"/>
    </xf>
    <xf numFmtId="164" fontId="13" fillId="2" borderId="0" applyAlignment="1" pivotButton="0" quotePrefix="0" xfId="0">
      <alignment horizontal="center"/>
    </xf>
    <xf numFmtId="164" fontId="23" fillId="0" borderId="0" applyAlignment="1" pivotButton="0" quotePrefix="0" xfId="0">
      <alignment horizontal="center"/>
    </xf>
    <xf numFmtId="164" fontId="27" fillId="0" borderId="0" applyAlignment="1" pivotButton="0" quotePrefix="0" xfId="0">
      <alignment horizontal="center"/>
    </xf>
    <xf numFmtId="164" fontId="23" fillId="7" borderId="0" applyAlignment="1" pivotButton="0" quotePrefix="0" xfId="0">
      <alignment horizontal="center"/>
    </xf>
    <xf numFmtId="165" fontId="23" fillId="0" borderId="0" applyAlignment="1" pivotButton="0" quotePrefix="0" xfId="0">
      <alignment horizontal="center"/>
    </xf>
    <xf numFmtId="167" fontId="23" fillId="0" borderId="0" applyAlignment="1" pivotButton="0" quotePrefix="0" xfId="0">
      <alignment horizontal="center"/>
    </xf>
    <xf numFmtId="164" fontId="21" fillId="0" borderId="0" pivotButton="0" quotePrefix="0" xfId="0"/>
    <xf numFmtId="164" fontId="26" fillId="0" borderId="0" pivotButton="0" quotePrefix="0" xfId="0"/>
    <xf numFmtId="164" fontId="23" fillId="4" borderId="0" pivotButton="0" quotePrefix="0" xfId="0"/>
    <xf numFmtId="168" fontId="32" fillId="0" borderId="0" applyAlignment="1" pivotButton="0" quotePrefix="0" xfId="0">
      <alignment horizontal="center"/>
    </xf>
    <xf numFmtId="164" fontId="26" fillId="4" borderId="0" pivotButton="0" quotePrefix="0" xfId="0"/>
    <xf numFmtId="164" fontId="19" fillId="2" borderId="0" pivotButton="0" quotePrefix="0" xfId="0"/>
    <xf numFmtId="165" fontId="21" fillId="0" borderId="0" pivotButton="0" quotePrefix="0" xfId="0"/>
    <xf numFmtId="165" fontId="26" fillId="0" borderId="0" pivotButton="0" quotePrefix="0" xfId="0"/>
    <xf numFmtId="166" fontId="21" fillId="0" borderId="0" pivotButton="0" quotePrefix="0" xfId="0"/>
    <xf numFmtId="169" fontId="34" fillId="0" borderId="1" pivotButton="0" quotePrefix="0" xfId="0"/>
    <xf numFmtId="169" fontId="17" fillId="6" borderId="0" applyAlignment="1" pivotButton="0" quotePrefix="0" xfId="0">
      <alignment horizontal="center"/>
    </xf>
    <xf numFmtId="169" fontId="74" fillId="0" borderId="0" applyAlignment="1" pivotButton="0" quotePrefix="0" xfId="0">
      <alignment horizontal="center"/>
    </xf>
    <xf numFmtId="170" fontId="36" fillId="0" borderId="0" pivotButton="0" quotePrefix="0" xfId="0"/>
    <xf numFmtId="170" fontId="37" fillId="0" borderId="0" pivotButton="0" quotePrefix="0" xfId="0"/>
    <xf numFmtId="169" fontId="34" fillId="9" borderId="1" pivotButton="0" quotePrefix="0" xfId="0"/>
    <xf numFmtId="164" fontId="69" fillId="0" borderId="0" applyAlignment="1" pivotButton="0" quotePrefix="0" xfId="0">
      <alignment horizontal="center"/>
    </xf>
    <xf numFmtId="164" fontId="37" fillId="0" borderId="0" pivotButton="0" quotePrefix="0" xfId="0"/>
    <xf numFmtId="175" fontId="70" fillId="7" borderId="0" pivotButton="0" quotePrefix="0" xfId="0"/>
    <xf numFmtId="175" fontId="37" fillId="0" borderId="0" pivotButton="0" quotePrefix="0" xfId="0"/>
    <xf numFmtId="170" fontId="69" fillId="0" borderId="0" pivotButton="0" quotePrefix="0" xfId="0"/>
    <xf numFmtId="171" fontId="36" fillId="0" borderId="0" pivotButton="0" quotePrefix="0" xfId="0"/>
    <xf numFmtId="164" fontId="0" fillId="0" borderId="0" pivotButton="0" quotePrefix="0" xfId="0"/>
    <xf numFmtId="164" fontId="34" fillId="0" borderId="0" pivotButton="0" quotePrefix="0" xfId="0"/>
    <xf numFmtId="176" fontId="10" fillId="10" borderId="0" applyAlignment="1" pivotButton="0" quotePrefix="0" xfId="0">
      <alignment horizontal="center"/>
    </xf>
    <xf numFmtId="164" fontId="10" fillId="10" borderId="0" applyAlignment="1" pivotButton="0" quotePrefix="0" xfId="0">
      <alignment horizontal="center"/>
    </xf>
    <xf numFmtId="164" fontId="91" fillId="0" borderId="0" applyAlignment="1" pivotButton="0" quotePrefix="0" xfId="0">
      <alignment horizontal="center"/>
    </xf>
    <xf numFmtId="164" fontId="92" fillId="0" borderId="0" applyAlignment="1" pivotButton="0" quotePrefix="0" xfId="0">
      <alignment horizontal="center"/>
    </xf>
    <xf numFmtId="164" fontId="94" fillId="0" borderId="0" applyAlignment="1" pivotButton="0" quotePrefix="0" xfId="0">
      <alignment horizontal="center"/>
    </xf>
    <xf numFmtId="164" fontId="95" fillId="0" borderId="0" applyAlignment="1" pivotButton="0" quotePrefix="0" xfId="0">
      <alignment horizontal="center"/>
    </xf>
    <xf numFmtId="164" fontId="96" fillId="0" borderId="0" applyAlignment="1" pivotButton="0" quotePrefix="0" xfId="0">
      <alignment horizontal="center"/>
    </xf>
    <xf numFmtId="164" fontId="97" fillId="0" borderId="0" applyAlignment="1" pivotButton="0" quotePrefix="0" xfId="0">
      <alignment horizontal="center"/>
    </xf>
    <xf numFmtId="165" fontId="99" fillId="0" borderId="0" applyAlignment="1" pivotButton="0" quotePrefix="0" xfId="0">
      <alignment horizontal="center"/>
    </xf>
    <xf numFmtId="176" fontId="91" fillId="17" borderId="0" applyAlignment="1" pivotButton="0" quotePrefix="0" xfId="0">
      <alignment horizontal="center"/>
    </xf>
    <xf numFmtId="177" fontId="30" fillId="0" borderId="0" applyAlignment="1" pivotButton="0" quotePrefix="0" xfId="0">
      <alignment horizontal="center"/>
    </xf>
    <xf numFmtId="177" fontId="91" fillId="10" borderId="0" applyAlignment="1" pivotButton="0" quotePrefix="0" xfId="0">
      <alignment horizontal="center"/>
    </xf>
    <xf numFmtId="178" fontId="91" fillId="17" borderId="0" applyAlignment="1" pivotButton="0" quotePrefix="0" xfId="0">
      <alignment horizontal="center"/>
    </xf>
    <xf numFmtId="178" fontId="91" fillId="10" borderId="0" applyAlignment="1" pivotButton="0" quotePrefix="0" xfId="0">
      <alignment horizontal="center"/>
    </xf>
    <xf numFmtId="179" fontId="91" fillId="17" borderId="0" applyAlignment="1" pivotButton="0" quotePrefix="0" xfId="0">
      <alignment horizontal="center"/>
    </xf>
    <xf numFmtId="165" fontId="30" fillId="0" borderId="0" applyAlignment="1" pivotButton="0" quotePrefix="0" xfId="0">
      <alignment horizontal="center"/>
    </xf>
    <xf numFmtId="179" fontId="91" fillId="10" borderId="0" applyAlignment="1" pivotButton="0" quotePrefix="0" xfId="0">
      <alignment horizontal="center"/>
    </xf>
    <xf numFmtId="165" fontId="91" fillId="10" borderId="0" applyAlignment="1" pivotButton="0" quotePrefix="0" xfId="0">
      <alignment horizontal="center"/>
    </xf>
    <xf numFmtId="180" fontId="91" fillId="17" borderId="0" applyAlignment="1" pivotButton="0" quotePrefix="0" xfId="0">
      <alignment horizontal="center"/>
    </xf>
    <xf numFmtId="180" fontId="91" fillId="10" borderId="0" applyAlignment="1" pivotButton="0" quotePrefix="0" xfId="0">
      <alignment horizontal="center"/>
    </xf>
    <xf numFmtId="181" fontId="30" fillId="0" borderId="0" applyAlignment="1" pivotButton="0" quotePrefix="0" xfId="0">
      <alignment horizontal="center"/>
    </xf>
    <xf numFmtId="181" fontId="91" fillId="10" borderId="0" applyAlignment="1" pivotButton="0" quotePrefix="0" xfId="0">
      <alignment horizontal="center"/>
    </xf>
  </cellXfs>
  <cellStyles count="4">
    <cellStyle name="Normal" xfId="0" builtinId="0"/>
    <cellStyle name="Moneda [0]" xfId="1" builtinId="7"/>
    <cellStyle name="Porcentaje" xfId="2" builtinId="5"/>
    <cellStyle name="Hipervínculo" xfId="3" builtinId="8"/>
  </cellStyles>
  <dxfs count="3">
    <dxf>
      <font>
        <b val="1"/>
        <color rgb="FFFFFFFF"/>
      </font>
      <fill>
        <patternFill patternType="solid">
          <fgColor indexed="64"/>
          <bgColor rgb="FF2F5496"/>
        </patternFill>
      </fill>
    </dxf>
    <dxf>
      <font>
        <b val="1"/>
        <color rgb="FFFFFFFF"/>
      </font>
      <fill>
        <patternFill patternType="solid">
          <fgColor indexed="64"/>
          <bgColor rgb="FF548235"/>
        </patternFill>
      </fill>
    </dxf>
    <dxf>
      <font>
        <b val="1"/>
        <color rgb="FFFFFFFF"/>
      </font>
      <fill>
        <patternFill patternType="solid">
          <fgColor indexed="64"/>
          <bgColor rgb="FFC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Ingresos, EBITDA y Utilidad Neta (USD)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s-CO"/>
        </a:p>
      </txPr>
    </title>
    <plotArea>
      <layout/>
      <barChart>
        <barDir val="col"/>
        <grouping val="clustered"/>
        <varyColors val="0"/>
        <ser>
          <idx val="0"/>
          <order val="0"/>
          <tx>
            <strRef>
              <f>Dashboard!$I$2</f>
              <strCache>
                <ptCount val="1"/>
                <pt idx="0">
                  <v>Ingresos</v>
                </pt>
              </strCache>
            </strRef>
          </tx>
          <spPr>
            <a:solidFill xmlns:a="http://schemas.openxmlformats.org/drawingml/2006/main">
              <a:schemeClr val="accent1"/>
            </a:solidFill>
            <a:ln xmlns:a="http://schemas.openxmlformats.org/drawingml/2006/main">
              <a:noFill/>
              <a:prstDash val="solid"/>
            </a:ln>
          </spPr>
          <invertIfNegative val="0"/>
          <cat>
            <strRef>
              <f>Dashboard!$J$1:$N$1</f>
              <strCache>
                <ptCount val="5"/>
                <pt idx="0">
                  <v>Año 1</v>
                </pt>
                <pt idx="1">
                  <v>Año 2</v>
                </pt>
                <pt idx="2">
                  <v>Año 3</v>
                </pt>
                <pt idx="3">
                  <v>Año 4</v>
                </pt>
                <pt idx="4">
                  <v>Año 5</v>
                </pt>
              </strCache>
            </strRef>
          </cat>
          <val>
            <numRef>
              <f>Dashboard!$J$2:$N$2</f>
              <numCache>
                <formatCode>General</formatCode>
                <ptCount val="5"/>
                <pt idx="0">
                  <v>432428.9253720348</v>
                </pt>
                <pt idx="1">
                  <v>2981448.330936731</v>
                </pt>
                <pt idx="2">
                  <v>7065883.142974269</v>
                </pt>
                <pt idx="3">
                  <v>10515878.77279371</v>
                </pt>
                <pt idx="4">
                  <v>12825045.14588344</v>
                </pt>
              </numCache>
            </numRef>
          </val>
        </ser>
        <ser>
          <idx val="1"/>
          <order val="1"/>
          <tx>
            <strRef>
              <f>Dashboard!$I$3</f>
              <strCache>
                <ptCount val="1"/>
                <pt idx="0">
                  <v>EBITDA</v>
                </pt>
              </strCache>
            </strRef>
          </tx>
          <spPr>
            <a:solidFill xmlns:a="http://schemas.openxmlformats.org/drawingml/2006/main">
              <a:schemeClr val="accent2"/>
            </a:solidFill>
            <a:ln xmlns:a="http://schemas.openxmlformats.org/drawingml/2006/main">
              <a:noFill/>
              <a:prstDash val="solid"/>
            </a:ln>
          </spPr>
          <invertIfNegative val="0"/>
          <cat>
            <strRef>
              <f>Dashboard!$J$1:$N$1</f>
              <strCache>
                <ptCount val="5"/>
                <pt idx="0">
                  <v>Año 1</v>
                </pt>
                <pt idx="1">
                  <v>Año 2</v>
                </pt>
                <pt idx="2">
                  <v>Año 3</v>
                </pt>
                <pt idx="3">
                  <v>Año 4</v>
                </pt>
                <pt idx="4">
                  <v>Año 5</v>
                </pt>
              </strCache>
            </strRef>
          </cat>
          <val>
            <numRef>
              <f>Dashboard!$J$3:$N$3</f>
              <numCache>
                <formatCode>General</formatCode>
                <ptCount val="5"/>
                <pt idx="0">
                  <v>-169376.2480365439</v>
                </pt>
                <pt idx="1">
                  <v>228532.9379343084</v>
                </pt>
                <pt idx="2">
                  <v>805947.3663893651</v>
                </pt>
                <pt idx="3">
                  <v>1257997.942510553</v>
                </pt>
                <pt idx="4">
                  <v>1649934.90372118</v>
                </pt>
              </numCache>
            </numRef>
          </val>
        </ser>
        <ser>
          <idx val="2"/>
          <order val="2"/>
          <tx>
            <strRef>
              <f>Dashboard!$I$4</f>
              <strCache>
                <ptCount val="1"/>
                <pt idx="0">
                  <v>Utilidad Neta</v>
                </pt>
              </strCache>
            </strRef>
          </tx>
          <spPr>
            <a:solidFill xmlns:a="http://schemas.openxmlformats.org/drawingml/2006/main">
              <a:schemeClr val="accent3"/>
            </a:solidFill>
            <a:ln xmlns:a="http://schemas.openxmlformats.org/drawingml/2006/main">
              <a:noFill/>
              <a:prstDash val="solid"/>
            </a:ln>
          </spPr>
          <invertIfNegative val="0"/>
          <cat>
            <strRef>
              <f>Dashboard!$J$1:$N$1</f>
              <strCache>
                <ptCount val="5"/>
                <pt idx="0">
                  <v>Año 1</v>
                </pt>
                <pt idx="1">
                  <v>Año 2</v>
                </pt>
                <pt idx="2">
                  <v>Año 3</v>
                </pt>
                <pt idx="3">
                  <v>Año 4</v>
                </pt>
                <pt idx="4">
                  <v>Año 5</v>
                </pt>
              </strCache>
            </strRef>
          </cat>
          <val>
            <numRef>
              <f>Dashboard!$J$4:$N$4</f>
              <numCache>
                <formatCode>General</formatCode>
                <ptCount val="5"/>
                <pt idx="0">
                  <v>-170364.128513835</v>
                </pt>
                <pt idx="1">
                  <v>148336.6411547958</v>
                </pt>
                <pt idx="2">
                  <v>523865.7881530873</v>
                </pt>
                <pt idx="3">
                  <v>817698.6626318595</v>
                </pt>
                <pt idx="4">
                  <v>1072457.687418767</v>
                </pt>
              </numCache>
            </numRef>
          </val>
        </ser>
        <dLbls>
          <showLegendKey val="0"/>
          <showVal val="0"/>
          <showCatName val="0"/>
          <showSerName val="0"/>
          <showPercent val="0"/>
          <showBubbleSize val="0"/>
        </dLbls>
        <gapWidth val="219"/>
        <overlap val="-27"/>
        <axId val="1035335232"/>
        <axId val="1035331648"/>
      </barChart>
      <catAx>
        <axId val="103533523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1035331648"/>
        <crosses val="autoZero"/>
        <auto val="1"/>
        <lblAlgn val="ctr"/>
        <lblOffset val="100"/>
        <noMultiLvlLbl val="0"/>
      </catAx>
      <valAx>
        <axId val="103533164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1035335232"/>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Evolución de Márgenes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s-CO"/>
        </a:p>
      </txPr>
    </title>
    <plotArea>
      <layout/>
      <lineChart>
        <grouping val="standard"/>
        <varyColors val="0"/>
        <ser>
          <idx val="0"/>
          <order val="0"/>
          <tx>
            <strRef>
              <f>Dashboard!$I$10</f>
              <strCache>
                <ptCount val="1"/>
                <pt idx="0">
                  <v>Margen Bruto</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Dashboard!$J$9:$N$9</f>
              <strCache>
                <ptCount val="5"/>
                <pt idx="0">
                  <v>Año 1</v>
                </pt>
                <pt idx="1">
                  <v>Año 2</v>
                </pt>
                <pt idx="2">
                  <v>Año 3</v>
                </pt>
                <pt idx="3">
                  <v>Año 4</v>
                </pt>
                <pt idx="4">
                  <v>Año 5</v>
                </pt>
              </strCache>
            </strRef>
          </cat>
          <val>
            <numRef>
              <f>Dashboard!$J$10:$N$10</f>
              <numCache>
                <formatCode>General</formatCode>
                <ptCount val="5"/>
                <pt idx="0">
                  <v>0.2918999714725517</v>
                </pt>
                <pt idx="1">
                  <v>0.2732795650500306</v>
                </pt>
                <pt idx="2">
                  <v>0.2508095882188953</v>
                </pt>
                <pt idx="3">
                  <v>0.2379256774834069</v>
                </pt>
                <pt idx="4">
                  <v>0.2445415648686859</v>
                </pt>
              </numCache>
            </numRef>
          </val>
          <smooth val="0"/>
        </ser>
        <ser>
          <idx val="1"/>
          <order val="1"/>
          <tx>
            <strRef>
              <f>Dashboard!$I$11</f>
              <strCache>
                <ptCount val="1"/>
                <pt idx="0">
                  <v>Margen EBITDA</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Dashboard!$J$9:$N$9</f>
              <strCache>
                <ptCount val="5"/>
                <pt idx="0">
                  <v>Año 1</v>
                </pt>
                <pt idx="1">
                  <v>Año 2</v>
                </pt>
                <pt idx="2">
                  <v>Año 3</v>
                </pt>
                <pt idx="3">
                  <v>Año 4</v>
                </pt>
                <pt idx="4">
                  <v>Año 5</v>
                </pt>
              </strCache>
            </strRef>
          </cat>
          <val>
            <numRef>
              <f>Dashboard!$J$11:$N$11</f>
              <numCache>
                <formatCode>General</formatCode>
                <ptCount val="5"/>
                <pt idx="0">
                  <v>-0.3916857501861679</v>
                </pt>
                <pt idx="1">
                  <v>0.07665165133433871</v>
                </pt>
                <pt idx="2">
                  <v>0.1140618023368717</v>
                </pt>
                <pt idx="3">
                  <v>0.1196284180990369</v>
                </pt>
                <pt idx="4">
                  <v>0.1286494421620631</v>
                </pt>
              </numCache>
            </numRef>
          </val>
          <smooth val="0"/>
        </ser>
        <ser>
          <idx val="2"/>
          <order val="2"/>
          <tx>
            <strRef>
              <f>Dashboard!$I$12</f>
              <strCache>
                <ptCount val="1"/>
                <pt idx="0">
                  <v>Margen Neto</v>
                </pt>
              </strCache>
            </strRef>
          </tx>
          <spPr>
            <a:ln xmlns:a="http://schemas.openxmlformats.org/drawingml/2006/main" w="28575" cap="rnd">
              <a:solidFill>
                <a:schemeClr val="accent3"/>
              </a:solidFill>
              <a:prstDash val="solid"/>
              <a:round/>
            </a:ln>
          </spPr>
          <marker>
            <symbol val="circle"/>
            <size val="5"/>
            <spPr>
              <a:solidFill xmlns:a="http://schemas.openxmlformats.org/drawingml/2006/main">
                <a:schemeClr val="accent3"/>
              </a:solidFill>
              <a:ln xmlns:a="http://schemas.openxmlformats.org/drawingml/2006/main" w="9525">
                <a:solidFill>
                  <a:schemeClr val="accent3"/>
                </a:solidFill>
                <a:prstDash val="solid"/>
              </a:ln>
            </spPr>
          </marker>
          <cat>
            <strRef>
              <f>Dashboard!$J$9:$N$9</f>
              <strCache>
                <ptCount val="5"/>
                <pt idx="0">
                  <v>Año 1</v>
                </pt>
                <pt idx="1">
                  <v>Año 2</v>
                </pt>
                <pt idx="2">
                  <v>Año 3</v>
                </pt>
                <pt idx="3">
                  <v>Año 4</v>
                </pt>
                <pt idx="4">
                  <v>Año 5</v>
                </pt>
              </strCache>
            </strRef>
          </cat>
          <val>
            <numRef>
              <f>Dashboard!$J$12:$N$12</f>
              <numCache>
                <formatCode>General</formatCode>
                <ptCount val="5"/>
                <pt idx="0">
                  <v>-0.3939702423173111</v>
                </pt>
                <pt idx="1">
                  <v>0.04975321544753736</v>
                </pt>
                <pt idx="2">
                  <v>0.07414017151896662</v>
                </pt>
                <pt idx="3">
                  <v>0.07775847176437396</v>
                </pt>
                <pt idx="4">
                  <v>0.083622137405341</v>
                </pt>
              </numCache>
            </numRef>
          </val>
          <smooth val="0"/>
        </ser>
        <dLbls>
          <showLegendKey val="0"/>
          <showVal val="0"/>
          <showCatName val="0"/>
          <showSerName val="0"/>
          <showPercent val="0"/>
          <showBubbleSize val="0"/>
        </dLbls>
        <marker val="1"/>
        <smooth val="0"/>
        <axId val="1035545536"/>
        <axId val="1035543296"/>
      </lineChart>
      <catAx>
        <axId val="10355455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1035543296"/>
        <crosses val="autoZero"/>
        <auto val="1"/>
        <lblAlgn val="ctr"/>
        <lblOffset val="100"/>
        <noMultiLvlLbl val="0"/>
      </catAx>
      <valAx>
        <axId val="103554329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1035545536"/>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Crecimiento de Restaurantes Activos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s-CO"/>
        </a:p>
      </txPr>
    </title>
    <plotArea>
      <layout/>
      <lineChart>
        <grouping val="standard"/>
        <varyColors val="0"/>
        <ser>
          <idx val="0"/>
          <order val="0"/>
          <tx>
            <strRef>
              <f>Dashboard!$I$7</f>
              <strCache>
                <ptCount val="1"/>
                <pt idx="0">
                  <v>Restaurantes activos</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Dashboard!$J$6:$N$6</f>
              <strCache>
                <ptCount val="5"/>
                <pt idx="0">
                  <v>Año 1</v>
                </pt>
                <pt idx="1">
                  <v>Año 2</v>
                </pt>
                <pt idx="2">
                  <v>Año 3</v>
                </pt>
                <pt idx="3">
                  <v>Año 4</v>
                </pt>
                <pt idx="4">
                  <v>Año 5</v>
                </pt>
              </strCache>
            </strRef>
          </cat>
          <val>
            <numRef>
              <f>Dashboard!$J$7:$N$7</f>
              <numCache>
                <formatCode>General</formatCode>
                <ptCount val="5"/>
                <pt idx="0">
                  <v>223</v>
                </pt>
                <pt idx="1">
                  <v>951</v>
                </pt>
                <pt idx="2">
                  <v>1847</v>
                </pt>
                <pt idx="3">
                  <v>2377</v>
                </pt>
                <pt idx="4">
                  <v>2665</v>
                </pt>
              </numCache>
            </numRef>
          </val>
          <smooth val="0"/>
        </ser>
        <dLbls>
          <showLegendKey val="0"/>
          <showVal val="0"/>
          <showCatName val="0"/>
          <showSerName val="0"/>
          <showPercent val="0"/>
          <showBubbleSize val="0"/>
        </dLbls>
        <marker val="1"/>
        <smooth val="0"/>
        <axId val="861701440"/>
        <axId val="861701888"/>
      </lineChart>
      <catAx>
        <axId val="861701440"/>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861701888"/>
        <crosses val="autoZero"/>
        <auto val="1"/>
        <lblAlgn val="ctr"/>
        <lblOffset val="100"/>
        <noMultiLvlLbl val="0"/>
      </catAx>
      <valAx>
        <axId val="86170188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861701440"/>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Composición del P&amp;L Anual (USD)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s-CO"/>
        </a:p>
      </txPr>
    </title>
    <plotArea>
      <layout/>
      <barChart>
        <barDir val="col"/>
        <grouping val="stacked"/>
        <varyColors val="0"/>
        <ser>
          <idx val="0"/>
          <order val="0"/>
          <tx>
            <strRef>
              <f>Dashboard!$I$15</f>
              <strCache>
                <ptCount val="1"/>
                <pt idx="0">
                  <v>Costos Directos</v>
                </pt>
              </strCache>
            </strRef>
          </tx>
          <spPr>
            <a:solidFill xmlns:a="http://schemas.openxmlformats.org/drawingml/2006/main">
              <a:schemeClr val="accent1"/>
            </a:solidFill>
            <a:ln xmlns:a="http://schemas.openxmlformats.org/drawingml/2006/main">
              <a:noFill/>
              <a:prstDash val="solid"/>
            </a:ln>
          </spPr>
          <invertIfNegative val="0"/>
          <cat>
            <strRef>
              <f>Dashboard!$J$14:$N$14</f>
              <strCache>
                <ptCount val="5"/>
                <pt idx="0">
                  <v>Año 1</v>
                </pt>
                <pt idx="1">
                  <v>Año 2</v>
                </pt>
                <pt idx="2">
                  <v>Año 3</v>
                </pt>
                <pt idx="3">
                  <v>Año 4</v>
                </pt>
                <pt idx="4">
                  <v>Año 5</v>
                </pt>
              </strCache>
            </strRef>
          </cat>
          <val>
            <numRef>
              <f>Dashboard!$J$15:$N$15</f>
              <numCache>
                <formatCode>General</formatCode>
                <ptCount val="5"/>
                <pt idx="0">
                  <v>306202.9343920316</v>
                </pt>
                <pt idx="1">
                  <v>2166679.427839201</v>
                </pt>
                <pt idx="2">
                  <v>5293691.901482059</v>
                </pt>
                <pt idx="3">
                  <v>8013881.191443392</v>
                </pt>
                <pt idx="4">
                  <v>9688788.536397563</v>
                </pt>
              </numCache>
            </numRef>
          </val>
        </ser>
        <ser>
          <idx val="1"/>
          <order val="1"/>
          <tx>
            <strRef>
              <f>Dashboard!$I$16</f>
              <strCache>
                <ptCount val="1"/>
                <pt idx="0">
                  <v>CAC y GTM</v>
                </pt>
              </strCache>
            </strRef>
          </tx>
          <spPr>
            <a:solidFill xmlns:a="http://schemas.openxmlformats.org/drawingml/2006/main">
              <a:schemeClr val="accent2"/>
            </a:solidFill>
            <a:ln xmlns:a="http://schemas.openxmlformats.org/drawingml/2006/main">
              <a:noFill/>
              <a:prstDash val="solid"/>
            </a:ln>
          </spPr>
          <invertIfNegative val="0"/>
          <cat>
            <strRef>
              <f>Dashboard!$J$14:$N$14</f>
              <strCache>
                <ptCount val="5"/>
                <pt idx="0">
                  <v>Año 1</v>
                </pt>
                <pt idx="1">
                  <v>Año 2</v>
                </pt>
                <pt idx="2">
                  <v>Año 3</v>
                </pt>
                <pt idx="3">
                  <v>Año 4</v>
                </pt>
                <pt idx="4">
                  <v>Año 5</v>
                </pt>
              </strCache>
            </strRef>
          </cat>
          <val>
            <numRef>
              <f>Dashboard!$J$16:$N$16</f>
              <numCache>
                <formatCode>General</formatCode>
                <ptCount val="5"/>
                <pt idx="0">
                  <v>15202.23901654698</v>
                </pt>
                <pt idx="1">
                  <v>202452.7151632207</v>
                </pt>
                <pt idx="2">
                  <v>436935.5269778452</v>
                </pt>
                <pt idx="3">
                  <v>616099.3484444554</v>
                </pt>
                <pt idx="4">
                  <v>733323.5717169031</v>
                </pt>
              </numCache>
            </numRef>
          </val>
        </ser>
        <ser>
          <idx val="2"/>
          <order val="2"/>
          <tx>
            <strRef>
              <f>Dashboard!$I$17</f>
              <strCache>
                <ptCount val="1"/>
                <pt idx="0">
                  <v>OPEX</v>
                </pt>
              </strCache>
            </strRef>
          </tx>
          <spPr>
            <a:solidFill xmlns:a="http://schemas.openxmlformats.org/drawingml/2006/main">
              <a:schemeClr val="accent3"/>
            </a:solidFill>
            <a:ln xmlns:a="http://schemas.openxmlformats.org/drawingml/2006/main">
              <a:noFill/>
              <a:prstDash val="solid"/>
            </a:ln>
          </spPr>
          <invertIfNegative val="0"/>
          <cat>
            <strRef>
              <f>Dashboard!$J$14:$N$14</f>
              <strCache>
                <ptCount val="5"/>
                <pt idx="0">
                  <v>Año 1</v>
                </pt>
                <pt idx="1">
                  <v>Año 2</v>
                </pt>
                <pt idx="2">
                  <v>Año 3</v>
                </pt>
                <pt idx="3">
                  <v>Año 4</v>
                </pt>
                <pt idx="4">
                  <v>Año 5</v>
                </pt>
              </strCache>
            </strRef>
          </cat>
          <val>
            <numRef>
              <f>Dashboard!$J$17:$N$17</f>
              <numCache>
                <formatCode>General</formatCode>
                <ptCount val="5"/>
                <pt idx="0">
                  <v>280400</v>
                </pt>
                <pt idx="1">
                  <v>383783.25</v>
                </pt>
                <pt idx="2">
                  <v>529308.3481249999</v>
                </pt>
                <pt idx="3">
                  <v>627900.2903953125</v>
                </pt>
                <pt idx="4">
                  <v>752998.1340478006</v>
                </pt>
              </numCache>
            </numRef>
          </val>
        </ser>
        <ser>
          <idx val="3"/>
          <order val="3"/>
          <tx>
            <strRef>
              <f>Dashboard!$I$18</f>
              <strCache>
                <ptCount val="1"/>
                <pt idx="0">
                  <v>EBITDA</v>
                </pt>
              </strCache>
            </strRef>
          </tx>
          <spPr>
            <a:solidFill xmlns:a="http://schemas.openxmlformats.org/drawingml/2006/main">
              <a:schemeClr val="accent4"/>
            </a:solidFill>
            <a:ln xmlns:a="http://schemas.openxmlformats.org/drawingml/2006/main">
              <a:noFill/>
              <a:prstDash val="solid"/>
            </a:ln>
          </spPr>
          <invertIfNegative val="0"/>
          <cat>
            <strRef>
              <f>Dashboard!$J$14:$N$14</f>
              <strCache>
                <ptCount val="5"/>
                <pt idx="0">
                  <v>Año 1</v>
                </pt>
                <pt idx="1">
                  <v>Año 2</v>
                </pt>
                <pt idx="2">
                  <v>Año 3</v>
                </pt>
                <pt idx="3">
                  <v>Año 4</v>
                </pt>
                <pt idx="4">
                  <v>Año 5</v>
                </pt>
              </strCache>
            </strRef>
          </cat>
          <val>
            <numRef>
              <f>Dashboard!$J$18:$N$18</f>
              <numCache>
                <formatCode>General</formatCode>
                <ptCount val="5"/>
                <pt idx="0">
                  <v>-169376.2480365439</v>
                </pt>
                <pt idx="1">
                  <v>228532.9379343084</v>
                </pt>
                <pt idx="2">
                  <v>805947.3663893651</v>
                </pt>
                <pt idx="3">
                  <v>1257997.942510553</v>
                </pt>
                <pt idx="4">
                  <v>1649934.90372118</v>
                </pt>
              </numCache>
            </numRef>
          </val>
        </ser>
        <dLbls>
          <showLegendKey val="0"/>
          <showVal val="0"/>
          <showCatName val="0"/>
          <showSerName val="0"/>
          <showPercent val="0"/>
          <showBubbleSize val="0"/>
        </dLbls>
        <gapWidth val="150"/>
        <overlap val="100"/>
        <axId val="900122816"/>
        <axId val="900125504"/>
      </barChart>
      <catAx>
        <axId val="90012281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900125504"/>
        <crosses val="autoZero"/>
        <auto val="1"/>
        <lblAlgn val="ctr"/>
        <lblOffset val="100"/>
        <noMultiLvlLbl val="0"/>
      </catAx>
      <valAx>
        <axId val="90012550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900122816"/>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Caja Acumulada por Año (USD)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s-CO"/>
        </a:p>
      </txPr>
    </title>
    <plotArea>
      <layout/>
      <areaChart>
        <grouping val="standard"/>
        <varyColors val="0"/>
        <ser>
          <idx val="0"/>
          <order val="0"/>
          <tx>
            <strRef>
              <f>Dashboard!$I$21</f>
              <strCache>
                <ptCount val="1"/>
                <pt idx="0">
                  <v>Restaurantes activos</v>
                </pt>
              </strCache>
            </strRef>
          </tx>
          <spPr>
            <a:solidFill xmlns:a="http://schemas.openxmlformats.org/drawingml/2006/main">
              <a:schemeClr val="accent1"/>
            </a:solidFill>
            <a:ln xmlns:a="http://schemas.openxmlformats.org/drawingml/2006/main">
              <a:noFill/>
              <a:prstDash val="solid"/>
            </a:ln>
          </spPr>
          <cat>
            <strRef>
              <f>Dashboard!$J$20:$N$20</f>
              <strCache>
                <ptCount val="5"/>
                <pt idx="0">
                  <v>Año 1</v>
                </pt>
                <pt idx="1">
                  <v>Año 2</v>
                </pt>
                <pt idx="2">
                  <v>Año 3</v>
                </pt>
                <pt idx="3">
                  <v>Año 4</v>
                </pt>
                <pt idx="4">
                  <v>Año 5</v>
                </pt>
              </strCache>
            </strRef>
          </cat>
          <val>
            <numRef>
              <f>Dashboard!$J$21:$N$21</f>
              <numCache>
                <formatCode>General</formatCode>
                <ptCount val="5"/>
                <pt idx="0">
                  <v>223</v>
                </pt>
                <pt idx="1">
                  <v>951</v>
                </pt>
                <pt idx="2">
                  <v>1847</v>
                </pt>
                <pt idx="3">
                  <v>2377</v>
                </pt>
                <pt idx="4">
                  <v>2665</v>
                </pt>
              </numCache>
            </numRef>
          </val>
        </ser>
        <ser>
          <idx val="1"/>
          <order val="1"/>
          <tx>
            <strRef>
              <f>Dashboard!$I$22</f>
              <strCache>
                <ptCount val="1"/>
                <pt idx="0">
                  <v>Caja Final</v>
                </pt>
              </strCache>
            </strRef>
          </tx>
          <spPr>
            <a:solidFill xmlns:a="http://schemas.openxmlformats.org/drawingml/2006/main">
              <a:schemeClr val="accent2"/>
            </a:solidFill>
            <a:ln xmlns:a="http://schemas.openxmlformats.org/drawingml/2006/main">
              <a:noFill/>
              <a:prstDash val="solid"/>
            </a:ln>
          </spPr>
          <cat>
            <strRef>
              <f>Dashboard!$J$20:$N$20</f>
              <strCache>
                <ptCount val="5"/>
                <pt idx="0">
                  <v>Año 1</v>
                </pt>
                <pt idx="1">
                  <v>Año 2</v>
                </pt>
                <pt idx="2">
                  <v>Año 3</v>
                </pt>
                <pt idx="3">
                  <v>Año 4</v>
                </pt>
                <pt idx="4">
                  <v>Año 5</v>
                </pt>
              </strCache>
            </strRef>
          </cat>
          <val>
            <numRef>
              <f>Dashboard!$J$22:$N$22</f>
              <numCache>
                <formatCode>General</formatCode>
                <ptCount val="5"/>
                <pt idx="0">
                  <v>329635.8714861651</v>
                </pt>
                <pt idx="1">
                  <v>477972.5126409609</v>
                </pt>
                <pt idx="2">
                  <v>1001838.300794048</v>
                </pt>
                <pt idx="3">
                  <v>1819536.963425907</v>
                </pt>
                <pt idx="4">
                  <v>2891994.650844674</v>
                </pt>
              </numCache>
            </numRef>
          </val>
        </ser>
        <dLbls>
          <showLegendKey val="0"/>
          <showVal val="0"/>
          <showCatName val="0"/>
          <showSerName val="0"/>
          <showPercent val="0"/>
          <showBubbleSize val="0"/>
        </dLbls>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Luis Alberto Del Castillo</author>
  </authors>
  <commentList>
    <comment ref="B5" authorId="0" shapeId="0">
      <text>
        <t>Luis Alberto Del Castillo:
🔧 EDITABLE — Cambie este valor para ver el escalamiento de ingresos.</t>
      </text>
    </comment>
  </commentList>
</comments>
</file>

<file path=xl/comments/comment2.xml><?xml version="1.0" encoding="utf-8"?>
<comments xmlns="http://schemas.openxmlformats.org/spreadsheetml/2006/main">
  <authors>
    <author>Luis Alberto Del Castillo</author>
  </authors>
  <commentList>
    <comment ref="B4" authorId="0" shapeId="0">
      <text>
        <t>⚙️ Los toggles y velocidades se controlan desde la hoja Escenarios.
Cambiar escenario (Escenarios!B4) actualiza automáticamente qué alianzas están activas y a qué velocidad.
Para modo MANUAL: edite directamente los valores en Escenarios (filas 32-38, columna del escenario activo).
Ej: Si quiere Pesimista con Coca-Cola, cambie D32 de 0 a 1.</t>
      </text>
    </comment>
    <comment ref="B7" authorId="0" shapeId="0">
      <text>
        <t>Luis Alberto Del Castillo:
✅ EDITABLE — Porcentaje estimado de restaurantes que son clientes simultáneos de múltiples aliados (CC + Bavaria + ACODRES). Ajustar según mercado.</t>
      </text>
    </comment>
    <comment ref="B8" authorId="0" shapeId="0">
      <text>
        <t>⚙️ FÓRMULA — (CC+ACODRES+Bavaria)×(1-%solap) + FEMSA + CC Florida
Colombia ajustado + mercados internacionales sin solapamiento.</t>
      </text>
    </comment>
    <comment ref="B9" authorId="0" shapeId="0">
      <text>
        <t>Luis Alberto Del Castillo:
✅ EDITABLE — Costo de adquisición por restaurante referido por alianzas.
Incluye: marketing, remarketing, incentivos a ejecutivos de marcas.
~60% del CAC directo ($100). Sin comisiones de venta.</t>
      </text>
    </comment>
    <comment ref="B10" authorId="0" shapeId="0">
      <text>
        <t>Luis Alberto Del Castillo:
⚙️ FÓRMULA — Meses de ramp-up lineal por escenario.
Pesimista=24, Base=18, Optimista=12.
Cada alianza parte de 0 rest/mes y crece linealmente hasta alcanzar su máximo.</t>
      </text>
    </comment>
    <comment ref="B13" authorId="0" shapeId="0">
      <text>
        <t>⚙️ FÓRMULA — Toggle Coca-Cola por escenario.
Pesimista=0 (OFF), Base=1 (ON), Optimista=1 (ON).
Para override manual: editar Escenarios!D32/E32/F32.</t>
      </text>
    </comment>
    <comment ref="F13" authorId="0" shapeId="0">
      <text>
        <t>⚙️ FÓRMULA — Toggle ACODRES por escenario.
Pesimista=1 (ON), Base=1 (ON), Optimista=1 (ON).
Para override manual: editar Escenarios!D33/E33/F33.</t>
      </text>
    </comment>
    <comment ref="B14" authorId="0" shapeId="0">
      <text>
        <t>Luis Alberto Del Castillo:
✅ EDITABLE — 5,000 restaurantes en Colombia. Interés confirmado por Coca-Cola.</t>
      </text>
    </comment>
    <comment ref="F14" authorId="0" shapeId="0">
      <text>
        <t>Luis Alberto Del Castillo:
✅ EDITABLE — 12,000 restaurantes asociados a ACODRES en Colombia.</t>
      </text>
    </comment>
    <comment ref="B15" authorId="0" shapeId="0">
      <text>
        <t>Luis Alberto Del Castillo:
✅ EDITABLE — Mes del modelo en que Coca-Cola comienza a aportar restaurantes.
Mes 1 = inicio 2do semestre 2026.</t>
      </text>
    </comment>
    <comment ref="F15" authorId="0" shapeId="0">
      <text>
        <t>Luis Alberto Del Castillo:
✅ EDITABLE — Mes del modelo en que ACODRES comienza a aportar restaurantes.
Mes 1 = inicio 2do semestre 2026.</t>
      </text>
    </comment>
    <comment ref="B16" authorId="0" shapeId="0">
      <text>
        <t>⚙️ FÓRMULA — Rest/mes Coca-Cola por escenario.
Pesimista=15, Base=25, Optimista=35.
Para override: editar Escenarios!D37/E37/F37.</t>
      </text>
    </comment>
    <comment ref="F16" authorId="0" shapeId="0">
      <text>
        <t>⚙️ FÓRMULA — Rest/mes ACODRES por escenario.
Pesimista=15, Base=25, Optimista=35.
Misma velocidad que las grandes alianzas.</t>
      </text>
    </comment>
    <comment ref="B17" authorId="0" shapeId="0">
      <text>
        <t>Luis Alberto Del Castillo:
⚙️ FÓRMULA — =ROUND(B10*(1-$B$5),0)
Pipeline CC ajustado por solapamiento.</t>
      </text>
    </comment>
    <comment ref="F17" authorId="0" shapeId="0">
      <text>
        <t>Luis Alberto Del Castillo:
⚙️ FÓRMULA — =ROUND(F10*(1-$B$5),0)
Pipeline ACODRES ajustado por solapamiento.</t>
      </text>
    </comment>
    <comment ref="B18" authorId="0" shapeId="0">
      <text>
        <t>Luis Alberto Del Castillo:
⚙️ FÓRMULA — =CEILING(pipeline_neto / rest_mes, 1)
Meses que toma agotar el pipeline neto de CC.</t>
      </text>
    </comment>
    <comment ref="F18" authorId="0" shapeId="0">
      <text>
        <t>Luis Alberto Del Castillo:
⚙️ FÓRMULA — Meses para agotar pipeline neto ACODRES.</t>
      </text>
    </comment>
    <comment ref="B21" authorId="0" shapeId="0">
      <text>
        <t>⚙️ FÓRMULA — Toggle Bavaria por escenario.
Pesimista=0 (OFF), Base=0 (OFF), Optimista=1 (ON).
Para override manual: editar Escenarios!D34/E34/F34.</t>
      </text>
    </comment>
    <comment ref="F21" authorId="0" shapeId="0">
      <text>
        <t>⚙️ FÓRMULA — Toggle FEMSA por escenario.
Pesimista=0 (OFF), Base=0 (OFF), Optimista=1 (ON).
Para override manual: editar Escenarios!D35/E35/F35.</t>
      </text>
    </comment>
    <comment ref="B22" authorId="0" shapeId="0">
      <text>
        <t>Luis Alberto Del Castillo:
✅ EDITABLE — 4,500 restaurantes en Colombia. Bavaria quiere implementar SM.</t>
      </text>
    </comment>
    <comment ref="F22" authorId="0" shapeId="0">
      <text>
        <t>Luis Alberto Del Castillo:
✅ EDITABLE — 50,000+ restaurantes gerenciados por FEMSA en México.
Requiere inversión de FEMSA Ventures.</t>
      </text>
    </comment>
    <comment ref="B23" authorId="0" shapeId="0">
      <text>
        <t>Luis Alberto Del Castillo:
✅ EDITABLE — Mes del modelo en que Bavaria comienza a aportar restaurantes.</t>
      </text>
    </comment>
    <comment ref="F23" authorId="0" shapeId="0">
      <text>
        <t>Luis Alberto Del Castillo:
✅ EDITABLE — Mes del modelo en que FEMSA comienza a aportar restaurantes en México.</t>
      </text>
    </comment>
    <comment ref="B24" authorId="0" shapeId="0">
      <text>
        <t>⚙️ FÓRMULA — Rest/mes Bavaria por escenario.
Pesimista=15, Base=25, Optimista=35.</t>
      </text>
    </comment>
    <comment ref="F24" authorId="0" shapeId="0">
      <text>
        <t>⚙️ FÓRMULA — Rest/mes FEMSA por escenario.
Pesimista=15, Base=25, Optimista=35.</t>
      </text>
    </comment>
    <comment ref="B25" authorId="0" shapeId="0">
      <text>
        <t>⚙️ FÓRMULA — =ROUND(B18*(1-$B$5),0)
Pipeline Bavaria ajustado por solapamiento.</t>
      </text>
    </comment>
    <comment ref="F25" authorId="0" shapeId="0">
      <text>
        <t>⚙️ FÓRMULA — =F18 (sin ajuste solapamiento — FEMSA es México, mercado distinto)</t>
      </text>
    </comment>
    <comment ref="B26" authorId="0" shapeId="0">
      <text>
        <t>⚙️ FÓRMULA — Meses para agotar pipeline neto Bavaria.</t>
      </text>
    </comment>
    <comment ref="F26" authorId="0" shapeId="0">
      <text>
        <t>Luis Alberto Del Castillo:
⚙️ FÓRMULA — Meses para agotar pipeline neto FEMSA.</t>
      </text>
    </comment>
    <comment ref="B29" authorId="0" shapeId="0">
      <text>
        <t>⚙️ FÓRMULA — Toggle CC Florida por escenario.
Pesimista=0 (OFF), Base=0 (OFF), Optimista=1 (ON).
Para override manual: editar Escenarios!D36/E36/F36.</t>
      </text>
    </comment>
    <comment ref="B30" authorId="0" shapeId="0">
      <text>
        <t>✅ EDITABLE — 5,000 restaurantes en Florida, USA.
Los 200 iniciales son la primera etapa del piloto. Pipeline total mucho mayor.</t>
      </text>
    </comment>
    <comment ref="B31" authorId="0" shapeId="0">
      <text>
        <t>Luis Alberto Del Castillo:
✅ EDITABLE — Mes del modelo en que Coca-Cola Florida comienza el piloto.
Mes 13 = inicio 2do año.</t>
      </text>
    </comment>
    <comment ref="B32" authorId="0" shapeId="0">
      <text>
        <t>⚙️ FÓRMULA — Rest/mes CC Florida por escenario.
Pesimista=5, Base=10, Optimista=15.
Velocidad menor que grandes alianzas (mercado piloto USA).</t>
      </text>
    </comment>
    <comment ref="B33" authorId="0" shapeId="0">
      <text>
        <t>Luis Alberto Del Castillo:
⚙️ FÓRMULA — =B26 (sin ajuste solapamiento — CC Florida es mercado USA, independiente de Colombia)</t>
      </text>
    </comment>
    <comment ref="B34" authorId="0" shapeId="0">
      <text>
        <t>⚙️ FÓRMULA — Mes activación + meses para agotar - 1.
Con pipeline 5,000 y 10 rest/mes = 500 meses → MIN(60, 512) = 60.
CC Florida activa durante todo el horizonte del modelo.</t>
      </text>
    </comment>
    <comment ref="B35" authorId="0" shapeId="0">
      <text>
        <t>Luis Alberto Del Castillo:
⚙️ FÓRMULA — Meses para agotar pipeline CC Florida.</t>
      </text>
    </comment>
  </commentList>
</comments>
</file>

<file path=xl/comments/comment3.xml><?xml version="1.0" encoding="utf-8"?>
<comments xmlns="http://schemas.openxmlformats.org/spreadsheetml/2006/main">
  <authors>
    <author>Luis Alberto Del Castillo</author>
  </authors>
  <commentList>
    <comment ref="D12" authorId="0" shapeId="0">
      <text>
        <t>Luis Alberto Del Castillo:
⚙️ FÓRMULA — No editar aquí.
Modificar en: Escenarios!D9:F9
(Pesimista / Base / Optimista)</t>
      </text>
    </comment>
    <comment ref="D13" authorId="0" shapeId="0">
      <text>
        <t>Luis Alberto Del Castillo:
⚙️ FÓRMULA — No editar aquí.
Modificar en: Escenarios!D10:F10
(Pesimista / Base / Optimista)</t>
      </text>
    </comment>
    <comment ref="D14" authorId="0" shapeId="0">
      <text>
        <t>Luis Alberto Del Castillo:
⚙️ FÓRMULA — No editar aquí.
Modificar en: Escenarios!D11:F11
(Pesimista / Base / Optimista)</t>
      </text>
    </comment>
    <comment ref="D15" authorId="0" shapeId="0">
      <text>
        <t>Luis Alberto Del Castillo:
⚙️ FÓRMULA — No editar aquí.
Modificar en: Escenarios!D12:F12
(Pesimista / Base / Optimista)</t>
      </text>
    </comment>
    <comment ref="D16" authorId="0" shapeId="0">
      <text>
        <t>Luis Alberto Del Castillo:
⚙️ FÓRMULA — No editar aquí.
Modificar en: Escenarios!D13:F13
(Pesimista / Base / Optimista)</t>
      </text>
    </comment>
    <comment ref="B18" authorId="0" shapeId="0">
      <text>
        <t>Luis Alberto Del Castillo:
⚙️ FÓRMULA — No editar aquí.
Modificar en: Escenarios!D16:F16
(Pesimista / Base / Optimista)</t>
      </text>
    </comment>
    <comment ref="B19" authorId="0" shapeId="0">
      <text>
        <t>Luis Alberto Del Castillo:
⚙️ FÓRMULA — Meseros ponderados por segmentos.
Antes: CHOOSE flat desde Escenarios (5/8/10).
Ahora: Calculado por mix de segmentos × meseros típicos.
Modificar en: Supuestos Generales B41:B43 (mix), B50:B52 (meseros)</t>
      </text>
    </comment>
    <comment ref="B20" authorId="0" shapeId="0">
      <text>
        <t>Luis Alberto Del Castillo:
⚙️ FÓRMULA — No editar aquí.
Modificar en: Escenarios!D17:F17
(Pesimista / Base / Optimista)</t>
      </text>
    </comment>
    <comment ref="B26" authorId="0" shapeId="0">
      <text>
        <t>⚙️ FÓRMULA — ARPU Neto ponderado por segmentos.
Antes: CHOOSE flat desde Escenarios ($10/$15/$20).
Ahora: Calculado por mix de segmentos × fee base × descuentos.
Modificar en: Supuestos Generales B41:B43 (mix), B46:B48 (fees)</t>
      </text>
    </comment>
    <comment ref="B27" authorId="0" shapeId="0">
      <text>
        <t>Luis Alberto Del Castillo:
⚙️ FÓRMULA — No editar aquí.
Modificar en: Escenarios!D19:F19
(Pesimista / Base / Optimista)</t>
      </text>
    </comment>
    <comment ref="B28" authorId="0" shapeId="0">
      <text>
        <t>Luis Alberto Del Castillo:
⚙️ FÓRMULA — No editar aquí.
Modificar en: Escenarios!D20:F20
(Pesimista / Base / Optimista)</t>
      </text>
    </comment>
    <comment ref="B41" authorId="0" shapeId="0">
      <text>
        <t>Luis Alberto Del Castillo:
⚙️ FÓRMULA — No editar aquí.
Modificar en: Escenarios!D28:F28
(Pesimista=70% / Base=50% / Optimista=35%)</t>
      </text>
    </comment>
    <comment ref="B42" authorId="0" shapeId="0">
      <text>
        <t>Luis Alberto Del Castillo:
⚙️ FÓRMULA — No editar aquí.
Modificar en: Escenarios!D29:F29
(Pesimista=25% / Base=35% / Optimista=35%)</t>
      </text>
    </comment>
    <comment ref="B43" authorId="0" shapeId="0">
      <text>
        <t>Luis Alberto Del Castillo:
⚙️ FÓRMULA — No editar aquí.
Modificar en: Escenarios!D30:F30
(Pesimista=5% / Base=15% / Optimista=30%)</t>
      </text>
    </comment>
    <comment ref="B59" authorId="0" shapeId="0">
      <text>
        <t>Luis Alberto Del Castillo:
⚙️ FÓRMULA — No editar aquí.
Modificar en: Escenarios!D31:F31
(Pesimista=5% / Base=10% / Optimista=20%)</t>
      </text>
    </comment>
    <comment ref="B66" authorId="0" shapeId="0">
      <text>
        <t>Luis Alberto Del Castillo:
⚙️ FÓRMULA — No editar aquí.
=B41+B42
Modificar: B41 (errores) y B42 (fraude)</t>
      </text>
    </comment>
    <comment ref="B70" authorId="0" shapeId="0">
      <text>
        <t>Luis Alberto Del Castillo:
⚙️ FÓRMULA — No editar aquí.
=1−B35
Modificar: B35 (Margen sobre redención)</t>
      </text>
    </comment>
    <comment ref="B72" authorId="0" shapeId="0">
      <text>
        <t>Luis Alberto Del Castillo:
⚙️ FÓRMULA — No editar aquí.
Modificar en: Escenarios!D25:F25
(Pesimista / Base / Optimista)</t>
      </text>
    </comment>
    <comment ref="B73" authorId="0" shapeId="0">
      <text>
        <t>Luis Alberto Del Castillo:
⚙️ FÓRMULA — No editar aquí.
Modificar en: Escenarios!D27:F27
(Pesimista=50 / Base=30 / Optimista=25)</t>
      </text>
    </comment>
    <comment ref="B81" authorId="0" shapeId="0">
      <text>
        <t>Luis Alberto Del Castillo:
⚙️ FÓRMULA — No editar aquí.
=B56+B57
Modificar: B56 (salario) y B57 (viáticos)</t>
      </text>
    </comment>
    <comment ref="B82" authorId="0" shapeId="0">
      <text>
        <t>Luis Alberto Del Castillo:
⚙️ FÓRMULA — No editar aquí.
Modificar en: Escenarios!D26:F26
(Pesimista=75 / Base=50 / Optimista=40)</t>
      </text>
    </comment>
    <comment ref="B85" authorId="0" shapeId="0">
      <text>
        <t>Luis Alberto Del Castillo:
⚙️ FÓRMULA — No editar aquí.
=ROUND(B61/12,0)
Modificar: B61 (Costo total Gala anual)</t>
      </text>
    </comment>
    <comment ref="B92" authorId="0" shapeId="0">
      <text>
        <t>Luis Alberto Del Castillo:
⚙️ FÓRMULA — No editar aquí.
=B26 (ARPU restaurante)
Modificar en: Escenarios!D18:F18</t>
      </text>
    </comment>
    <comment ref="B100" authorId="0" shapeId="0">
      <text>
        <t>Luis Alberto Del Castillo:
⚙️ FÓRMULA — Verificación automática.
=SUM(B73:B76)
Debe sumar 100%. Modificar: B73:B76</t>
      </text>
    </comment>
    <comment ref="B118" authorId="0" shapeId="0">
      <text>
        <t>Luis Alberto Del Castillo:
⚙️ FÓRMULA — No editar aquí.
=D109 (Total Equipo Producto)
Modificar en: Detalle OPEX fila 107-108
(cantidad y costo unitario)</t>
      </text>
    </comment>
    <comment ref="B119" authorId="0" shapeId="0">
      <text>
        <t>Luis Alberto Del Castillo:
⚙️ FÓRMULA — No editar aquí.
=D114 (Total Equipo Analítica)
Modificar en: Detalle OPEX fila 112-113
(cantidad y costo unitario)</t>
      </text>
    </comment>
    <comment ref="B120" authorId="0" shapeId="0">
      <text>
        <t>Luis Alberto Del Castillo:
⚙️ FÓRMULA — No editar aquí.
=D118 (Total Equipo Operaciones)
Modificar en: Detalle OPEX fila 117
(cantidad y costo unitario)</t>
      </text>
    </comment>
    <comment ref="B121" authorId="0" shapeId="0">
      <text>
        <t>Luis Alberto Del Castillo:
⚙️ FÓRMULA — No editar aquí.
=D122 (Total Equipo Ventas)
Modificar en: Detalle OPEX fila 121
(cantidad y costo unitario)</t>
      </text>
    </comment>
    <comment ref="B122" authorId="0" shapeId="0">
      <text>
        <t>Luis Alberto Del Castillo:
⚙️ FÓRMULA — No editar aquí.
=D126 (Total Admin y Legal)
Modificar en: Detalle OPEX fila 124-125
(costos individuales)</t>
      </text>
    </comment>
    <comment ref="B123" authorId="0" shapeId="0">
      <text>
        <t>Luis Alberto Del Castillo:
⚙️ FÓRMULA — No editar aquí.
=D131 (Total Marketing Base)
Modificar en: Detalle OPEX fila 129-130
(costos individuales)</t>
      </text>
    </comment>
    <comment ref="B124" authorId="0" shapeId="0">
      <text>
        <t>Luis Alberto Del Castillo:
⚙️ FÓRMULA — No editar aquí.
=D137 (Total Otros Gastos)
Modificar en: Detalle OPEX fila 134-136
(costos individuales)</t>
      </text>
    </comment>
    <comment ref="B125" authorId="0" shapeId="0">
      <text>
        <t>Luis Alberto Del Castillo:
⚙️ VARIABLE — $3,000 base + $1,000 por cada 100 restaurantes activos, tope $15,000/mes.
Fórmula en hoja OPEX fila 13:
=MIN(15000, 3000+MAX(0,FLOOR(Onboarding!B11/100,1))*1000)</t>
      </text>
    </comment>
    <comment ref="B126" authorId="0" shapeId="0">
      <text>
        <t>Luis Alberto Del Castillo:
💰 EDITABLE — Monto fijo mensual de licencia de la plataforma Superlikers.
Modificar este valor y se propagará a hoja OPEX fila 14.</t>
      </text>
    </comment>
    <comment ref="B127" authorId="0" shapeId="0">
      <text>
        <t>Luis Alberto Del Castillo:
⚙️ FÓRMULA — No editar aquí.
Factor de escala que ajusta OPEX fijo por escenario.
Pesimista=0.46, Base=1.0, Optimista=2.0
Modificar en: Escenarios!D23:F23</t>
      </text>
    </comment>
    <comment ref="B128" authorId="0" shapeId="0">
      <text>
        <t>Luis Alberto Del Castillo:
⚙️ FÓRMULA — No editar aquí.
Modificar en: Escenarios!D24:F24
(Pesimista / Base / Optimista)</t>
      </text>
    </comment>
  </commentList>
</comments>
</file>

<file path=xl/comments/comment4.xml><?xml version="1.0" encoding="utf-8"?>
<comments xmlns="http://schemas.openxmlformats.org/spreadsheetml/2006/main">
  <authors>
    <author>Luis Alberto Del Castillo</author>
  </authors>
  <commentList>
    <comment ref="B9" authorId="0" shapeId="0">
      <text>
        <t>⚙️ FÓRMULA — 5 alianzas: CC + ACODRES + Bavaria + FEMSA + CC Florida.
CC Florida tiene tope: solo activa entre mes activación y mes fin (cuando agota pipeline).</t>
      </text>
    </comment>
    <comment ref="C9" authorId="0" shapeId="0">
      <text>
        <t>⚙️ FÓRMULA — 5 alianzas: CC + ACODRES + Bavaria + FEMSA + CC Florida.
CC Florida tiene tope: solo activa entre mes activación y mes fin (cuando agota pipeline).</t>
      </text>
    </comment>
    <comment ref="D9" authorId="0" shapeId="0">
      <text>
        <t>⚙️ FÓRMULA — 5 alianzas: CC + ACODRES + Bavaria + FEMSA + CC Florida.
CC Florida tiene tope: solo activa entre mes activación y mes fin (cuando agota pipeline).</t>
      </text>
    </comment>
    <comment ref="E9" authorId="0" shapeId="0">
      <text>
        <t>⚙️ FÓRMULA — 5 alianzas: CC + ACODRES + Bavaria + FEMSA + CC Florida.
CC Florida tiene tope: solo activa entre mes activación y mes fin (cuando agota pipeline).</t>
      </text>
    </comment>
    <comment ref="F9" authorId="0" shapeId="0">
      <text>
        <t>⚙️ FÓRMULA — 5 alianzas: CC + ACODRES + Bavaria + FEMSA + CC Florida.
CC Florida tiene tope: solo activa entre mes activación y mes fin (cuando agota pipeline).</t>
      </text>
    </comment>
    <comment ref="G9" authorId="0" shapeId="0">
      <text>
        <t>⚙️ FÓRMULA — 5 alianzas: CC + ACODRES + Bavaria + FEMSA + CC Florida.
CC Florida tiene tope: solo activa entre mes activación y mes fin (cuando agota pipeline).</t>
      </text>
    </comment>
    <comment ref="H9" authorId="0" shapeId="0">
      <text>
        <t>⚙️ FÓRMULA — 5 alianzas: CC + ACODRES + Bavaria + FEMSA + CC Florida.
CC Florida tiene tope: solo activa entre mes activación y mes fin (cuando agota pipeline).</t>
      </text>
    </comment>
    <comment ref="I9" authorId="0" shapeId="0">
      <text>
        <t>⚙️ FÓRMULA — 5 alianzas: CC + ACODRES + Bavaria + FEMSA + CC Florida.
CC Florida tiene tope: solo activa entre mes activación y mes fin (cuando agota pipeline).</t>
      </text>
    </comment>
    <comment ref="J9" authorId="0" shapeId="0">
      <text>
        <t>⚙️ FÓRMULA — 5 alianzas: CC + ACODRES + Bavaria + FEMSA + CC Florida.
CC Florida tiene tope: solo activa entre mes activación y mes fin (cuando agota pipeline).</t>
      </text>
    </comment>
    <comment ref="K9" authorId="0" shapeId="0">
      <text>
        <t>⚙️ FÓRMULA — 5 alianzas: CC + ACODRES + Bavaria + FEMSA + CC Florida.
CC Florida tiene tope: solo activa entre mes activación y mes fin (cuando agota pipeline).</t>
      </text>
    </comment>
    <comment ref="L9" authorId="0" shapeId="0">
      <text>
        <t>⚙️ FÓRMULA — 5 alianzas: CC + ACODRES + Bavaria + FEMSA + CC Florida.
CC Florida tiene tope: solo activa entre mes activación y mes fin (cuando agota pipeline).</t>
      </text>
    </comment>
    <comment ref="M9" authorId="0" shapeId="0">
      <text>
        <t>⚙️ FÓRMULA — 5 alianzas: CC + ACODRES + Bavaria + FEMSA + CC Florida.
CC Florida tiene tope: solo activa entre mes activación y mes fin (cuando agota pipeline).</t>
      </text>
    </comment>
    <comment ref="N9" authorId="0" shapeId="0">
      <text>
        <t>⚙️ FÓRMULA — 5 alianzas: CC + ACODRES + Bavaria + FEMSA + CC Florida.
CC Florida tiene tope: solo activa entre mes activación y mes fin (cuando agota pipeline).</t>
      </text>
    </comment>
    <comment ref="O9" authorId="0" shapeId="0">
      <text>
        <t>⚙️ FÓRMULA — 5 alianzas: CC + ACODRES + Bavaria + FEMSA + CC Florida.
CC Florida tiene tope: solo activa entre mes activación y mes fin (cuando agota pipeline).</t>
      </text>
    </comment>
    <comment ref="P9" authorId="0" shapeId="0">
      <text>
        <t>⚙️ FÓRMULA — 5 alianzas: CC + ACODRES + Bavaria + FEMSA + CC Florida.
CC Florida tiene tope: solo activa entre mes activación y mes fin (cuando agota pipeline).</t>
      </text>
    </comment>
    <comment ref="Q9" authorId="0" shapeId="0">
      <text>
        <t>⚙️ FÓRMULA — 5 alianzas: CC + ACODRES + Bavaria + FEMSA + CC Florida.
CC Florida tiene tope: solo activa entre mes activación y mes fin (cuando agota pipeline).</t>
      </text>
    </comment>
    <comment ref="R9" authorId="0" shapeId="0">
      <text>
        <t>⚙️ FÓRMULA — 5 alianzas: CC + ACODRES + Bavaria + FEMSA + CC Florida.
CC Florida tiene tope: solo activa entre mes activación y mes fin (cuando agota pipeline).</t>
      </text>
    </comment>
    <comment ref="S9" authorId="0" shapeId="0">
      <text>
        <t>⚙️ FÓRMULA — 5 alianzas: CC + ACODRES + Bavaria + FEMSA + CC Florida.
CC Florida tiene tope: solo activa entre mes activación y mes fin (cuando agota pipeline).</t>
      </text>
    </comment>
    <comment ref="T9" authorId="0" shapeId="0">
      <text>
        <t>⚙️ FÓRMULA — 5 alianzas: CC + ACODRES + Bavaria + FEMSA + CC Florida.
CC Florida tiene tope: solo activa entre mes activación y mes fin (cuando agota pipeline).</t>
      </text>
    </comment>
    <comment ref="U9" authorId="0" shapeId="0">
      <text>
        <t>⚙️ FÓRMULA — 5 alianzas: CC + ACODRES + Bavaria + FEMSA + CC Florida.
CC Florida tiene tope: solo activa entre mes activación y mes fin (cuando agota pipeline).</t>
      </text>
    </comment>
    <comment ref="V9" authorId="0" shapeId="0">
      <text>
        <t>⚙️ FÓRMULA — 5 alianzas: CC + ACODRES + Bavaria + FEMSA + CC Florida.
CC Florida tiene tope: solo activa entre mes activación y mes fin (cuando agota pipeline).</t>
      </text>
    </comment>
    <comment ref="W9" authorId="0" shapeId="0">
      <text>
        <t>⚙️ FÓRMULA — 5 alianzas: CC + ACODRES + Bavaria + FEMSA + CC Florida.
CC Florida tiene tope: solo activa entre mes activación y mes fin (cuando agota pipeline).</t>
      </text>
    </comment>
    <comment ref="X9" authorId="0" shapeId="0">
      <text>
        <t>⚙️ FÓRMULA — 5 alianzas: CC + ACODRES + Bavaria + FEMSA + CC Florida.
CC Florida tiene tope: solo activa entre mes activación y mes fin (cuando agota pipeline).</t>
      </text>
    </comment>
    <comment ref="Y9" authorId="0" shapeId="0">
      <text>
        <t>⚙️ FÓRMULA — 5 alianzas: CC + ACODRES + Bavaria + FEMSA + CC Florida.
CC Florida tiene tope: solo activa entre mes activación y mes fin (cuando agota pipeline).</t>
      </text>
    </comment>
    <comment ref="Z9" authorId="0" shapeId="0">
      <text>
        <t>⚙️ FÓRMULA — 5 alianzas: CC + ACODRES + Bavaria + FEMSA + CC Florida.
CC Florida tiene tope: solo activa entre mes activación y mes fin (cuando agota pipeline).</t>
      </text>
    </comment>
    <comment ref="AA9" authorId="0" shapeId="0">
      <text>
        <t>⚙️ FÓRMULA — 5 alianzas: CC + ACODRES + Bavaria + FEMSA + CC Florida.
CC Florida tiene tope: solo activa entre mes activación y mes fin (cuando agota pipeline).</t>
      </text>
    </comment>
    <comment ref="AB9" authorId="0" shapeId="0">
      <text>
        <t>⚙️ FÓRMULA — 5 alianzas: CC + ACODRES + Bavaria + FEMSA + CC Florida.
CC Florida tiene tope: solo activa entre mes activación y mes fin (cuando agota pipeline).</t>
      </text>
    </comment>
    <comment ref="AC9" authorId="0" shapeId="0">
      <text>
        <t>⚙️ FÓRMULA — 5 alianzas: CC + ACODRES + Bavaria + FEMSA + CC Florida.
CC Florida tiene tope: solo activa entre mes activación y mes fin (cuando agota pipeline).</t>
      </text>
    </comment>
    <comment ref="AD9" authorId="0" shapeId="0">
      <text>
        <t>⚙️ FÓRMULA — 5 alianzas: CC + ACODRES + Bavaria + FEMSA + CC Florida.
CC Florida tiene tope: solo activa entre mes activación y mes fin (cuando agota pipeline).</t>
      </text>
    </comment>
    <comment ref="AE9" authorId="0" shapeId="0">
      <text>
        <t>⚙️ FÓRMULA — 5 alianzas: CC + ACODRES + Bavaria + FEMSA + CC Florida.
CC Florida tiene tope: solo activa entre mes activación y mes fin (cuando agota pipeline).</t>
      </text>
    </comment>
    <comment ref="AF9" authorId="0" shapeId="0">
      <text>
        <t>⚙️ FÓRMULA — 5 alianzas: CC + ACODRES + Bavaria + FEMSA + CC Florida.
CC Florida tiene tope: solo activa entre mes activación y mes fin (cuando agota pipeline).</t>
      </text>
    </comment>
    <comment ref="AG9" authorId="0" shapeId="0">
      <text>
        <t>⚙️ FÓRMULA — 5 alianzas: CC + ACODRES + Bavaria + FEMSA + CC Florida.
CC Florida tiene tope: solo activa entre mes activación y mes fin (cuando agota pipeline).</t>
      </text>
    </comment>
    <comment ref="AH9" authorId="0" shapeId="0">
      <text>
        <t>⚙️ FÓRMULA — 5 alianzas: CC + ACODRES + Bavaria + FEMSA + CC Florida.
CC Florida tiene tope: solo activa entre mes activación y mes fin (cuando agota pipeline).</t>
      </text>
    </comment>
    <comment ref="AI9" authorId="0" shapeId="0">
      <text>
        <t>⚙️ FÓRMULA — 5 alianzas: CC + ACODRES + Bavaria + FEMSA + CC Florida.
CC Florida tiene tope: solo activa entre mes activación y mes fin (cuando agota pipeline).</t>
      </text>
    </comment>
    <comment ref="AJ9" authorId="0" shapeId="0">
      <text>
        <t>⚙️ FÓRMULA — 5 alianzas: CC + ACODRES + Bavaria + FEMSA + CC Florida.
CC Florida tiene tope: solo activa entre mes activación y mes fin (cuando agota pipeline).</t>
      </text>
    </comment>
    <comment ref="AK9" authorId="0" shapeId="0">
      <text>
        <t>⚙️ FÓRMULA — 5 alianzas: CC + ACODRES + Bavaria + FEMSA + CC Florida.
CC Florida tiene tope: solo activa entre mes activación y mes fin (cuando agota pipeline).</t>
      </text>
    </comment>
    <comment ref="AL9" authorId="0" shapeId="0">
      <text>
        <t>⚙️ FÓRMULA — 5 alianzas: CC + ACODRES + Bavaria + FEMSA + CC Florida.
CC Florida tiene tope: solo activa entre mes activación y mes fin (cuando agota pipeline).</t>
      </text>
    </comment>
    <comment ref="AM9" authorId="0" shapeId="0">
      <text>
        <t>⚙️ FÓRMULA — 5 alianzas: CC + ACODRES + Bavaria + FEMSA + CC Florida.
CC Florida tiene tope: solo activa entre mes activación y mes fin (cuando agota pipeline).</t>
      </text>
    </comment>
    <comment ref="AN9" authorId="0" shapeId="0">
      <text>
        <t>⚙️ FÓRMULA — 5 alianzas: CC + ACODRES + Bavaria + FEMSA + CC Florida.
CC Florida tiene tope: solo activa entre mes activación y mes fin (cuando agota pipeline).</t>
      </text>
    </comment>
    <comment ref="AO9" authorId="0" shapeId="0">
      <text>
        <t>⚙️ FÓRMULA — 5 alianzas: CC + ACODRES + Bavaria + FEMSA + CC Florida.
CC Florida tiene tope: solo activa entre mes activación y mes fin (cuando agota pipeline).</t>
      </text>
    </comment>
    <comment ref="AP9" authorId="0" shapeId="0">
      <text>
        <t>⚙️ FÓRMULA — 5 alianzas: CC + ACODRES + Bavaria + FEMSA + CC Florida.
CC Florida tiene tope: solo activa entre mes activación y mes fin (cuando agota pipeline).</t>
      </text>
    </comment>
    <comment ref="AQ9" authorId="0" shapeId="0">
      <text>
        <t>⚙️ FÓRMULA — 5 alianzas: CC + ACODRES + Bavaria + FEMSA + CC Florida.
CC Florida tiene tope: solo activa entre mes activación y mes fin (cuando agota pipeline).</t>
      </text>
    </comment>
    <comment ref="AR9" authorId="0" shapeId="0">
      <text>
        <t>⚙️ FÓRMULA — 5 alianzas: CC + ACODRES + Bavaria + FEMSA + CC Florida.
CC Florida tiene tope: solo activa entre mes activación y mes fin (cuando agota pipeline).</t>
      </text>
    </comment>
    <comment ref="AS9" authorId="0" shapeId="0">
      <text>
        <t>⚙️ FÓRMULA — 5 alianzas: CC + ACODRES + Bavaria + FEMSA + CC Florida.
CC Florida tiene tope: solo activa entre mes activación y mes fin (cuando agota pipeline).</t>
      </text>
    </comment>
    <comment ref="AT9" authorId="0" shapeId="0">
      <text>
        <t>⚙️ FÓRMULA — 5 alianzas: CC + ACODRES + Bavaria + FEMSA + CC Florida.
CC Florida tiene tope: solo activa entre mes activación y mes fin (cuando agota pipeline).</t>
      </text>
    </comment>
    <comment ref="AU9" authorId="0" shapeId="0">
      <text>
        <t>⚙️ FÓRMULA — 5 alianzas: CC + ACODRES + Bavaria + FEMSA + CC Florida.
CC Florida tiene tope: solo activa entre mes activación y mes fin (cuando agota pipeline).</t>
      </text>
    </comment>
    <comment ref="AV9" authorId="0" shapeId="0">
      <text>
        <t>⚙️ FÓRMULA — 5 alianzas: CC + ACODRES + Bavaria + FEMSA + CC Florida.
CC Florida tiene tope: solo activa entre mes activación y mes fin (cuando agota pipeline).</t>
      </text>
    </comment>
    <comment ref="AW9" authorId="0" shapeId="0">
      <text>
        <t>⚙️ FÓRMULA — 5 alianzas: CC + ACODRES + Bavaria + FEMSA + CC Florida.
CC Florida tiene tope: solo activa entre mes activación y mes fin (cuando agota pipeline).</t>
      </text>
    </comment>
    <comment ref="AX9" authorId="0" shapeId="0">
      <text>
        <t>⚙️ FÓRMULA — 5 alianzas: CC + ACODRES + Bavaria + FEMSA + CC Florida.
CC Florida tiene tope: solo activa entre mes activación y mes fin (cuando agota pipeline).</t>
      </text>
    </comment>
    <comment ref="AY9" authorId="0" shapeId="0">
      <text>
        <t>⚙️ FÓRMULA — 5 alianzas: CC + ACODRES + Bavaria + FEMSA + CC Florida.
CC Florida tiene tope: solo activa entre mes activación y mes fin (cuando agota pipeline).</t>
      </text>
    </comment>
    <comment ref="AZ9" authorId="0" shapeId="0">
      <text>
        <t>⚙️ FÓRMULA — 5 alianzas: CC + ACODRES + Bavaria + FEMSA + CC Florida.
CC Florida tiene tope: solo activa entre mes activación y mes fin (cuando agota pipeline).</t>
      </text>
    </comment>
    <comment ref="BA9" authorId="0" shapeId="0">
      <text>
        <t>⚙️ FÓRMULA — 5 alianzas: CC + ACODRES + Bavaria + FEMSA + CC Florida.
CC Florida tiene tope: solo activa entre mes activación y mes fin (cuando agota pipeline).</t>
      </text>
    </comment>
    <comment ref="BB9" authorId="0" shapeId="0">
      <text>
        <t>⚙️ FÓRMULA — 5 alianzas: CC + ACODRES + Bavaria + FEMSA + CC Florida.
CC Florida tiene tope: solo activa entre mes activación y mes fin (cuando agota pipeline).</t>
      </text>
    </comment>
    <comment ref="BC9" authorId="0" shapeId="0">
      <text>
        <t>⚙️ FÓRMULA — 5 alianzas: CC + ACODRES + Bavaria + FEMSA + CC Florida.
CC Florida tiene tope: solo activa entre mes activación y mes fin (cuando agota pipeline).</t>
      </text>
    </comment>
    <comment ref="BD9" authorId="0" shapeId="0">
      <text>
        <t>⚙️ FÓRMULA — 5 alianzas: CC + ACODRES + Bavaria + FEMSA + CC Florida.
CC Florida tiene tope: solo activa entre mes activación y mes fin (cuando agota pipeline).</t>
      </text>
    </comment>
    <comment ref="BE9" authorId="0" shapeId="0">
      <text>
        <t>⚙️ FÓRMULA — 5 alianzas: CC + ACODRES + Bavaria + FEMSA + CC Florida.
CC Florida tiene tope: solo activa entre mes activación y mes fin (cuando agota pipeline).</t>
      </text>
    </comment>
    <comment ref="BF9" authorId="0" shapeId="0">
      <text>
        <t>⚙️ FÓRMULA — 5 alianzas: CC + ACODRES + Bavaria + FEMSA + CC Florida.
CC Florida tiene tope: solo activa entre mes activación y mes fin (cuando agota pipeline).</t>
      </text>
    </comment>
    <comment ref="BG9" authorId="0" shapeId="0">
      <text>
        <t>⚙️ FÓRMULA — 5 alianzas: CC + ACODRES + Bavaria + FEMSA + CC Florida.
CC Florida tiene tope: solo activa entre mes activación y mes fin (cuando agota pipeline).</t>
      </text>
    </comment>
    <comment ref="BH9" authorId="0" shapeId="0">
      <text>
        <t>⚙️ FÓRMULA — 5 alianzas: CC + ACODRES + Bavaria + FEMSA + CC Florida.
CC Florida tiene tope: solo activa entre mes activación y mes fin (cuando agota pipeline).</t>
      </text>
    </comment>
    <comment ref="BI9" authorId="0" shapeId="0">
      <text>
        <t>⚙️ FÓRMULA — 5 alianzas: CC + ACODRES + Bavaria + FEMSA + CC Florida.
CC Florida tiene tope: solo activa entre mes activación y mes fin (cuando agota pipeline).</t>
      </text>
    </comment>
  </commentList>
</comments>
</file>

<file path=xl/comments/comment5.xml><?xml version="1.0" encoding="utf-8"?>
<comments xmlns="http://schemas.openxmlformats.org/spreadsheetml/2006/main">
  <authors>
    <author>Luis Alberto Del Castillo</author>
  </authors>
  <commentList>
    <comment ref="B10" authorId="0" shapeId="0">
      <text>
        <t>Luis Alberto Del Castillo:
⚙️ FÓRMULA — Restaurantes nuevos vía alianzas del mes.
Vinculado a Onboarding fila 9 (suma de 5 alianzas activas).</t>
      </text>
    </comment>
    <comment ref="C10" authorId="0" shapeId="0">
      <text>
        <t>Luis Alberto Del Castillo:
⚙️ FÓRMULA — Restaurantes nuevos vía alianzas del mes.
Vinculado a Onboarding fila 9 (suma de 5 alianzas activas).</t>
      </text>
    </comment>
    <comment ref="D10" authorId="0" shapeId="0">
      <text>
        <t>Luis Alberto Del Castillo:
⚙️ FÓRMULA — Restaurantes nuevos vía alianzas del mes.
Vinculado a Onboarding fila 9 (suma de 5 alianzas activas).</t>
      </text>
    </comment>
    <comment ref="E10" authorId="0" shapeId="0">
      <text>
        <t>Luis Alberto Del Castillo:
⚙️ FÓRMULA — Restaurantes nuevos vía alianzas del mes.
Vinculado a Onboarding fila 9 (suma de 5 alianzas activas).</t>
      </text>
    </comment>
    <comment ref="F10" authorId="0" shapeId="0">
      <text>
        <t>Luis Alberto Del Castillo:
⚙️ FÓRMULA — Restaurantes nuevos vía alianzas del mes.
Vinculado a Onboarding fila 9 (suma de 5 alianzas activas).</t>
      </text>
    </comment>
    <comment ref="G10" authorId="0" shapeId="0">
      <text>
        <t>Luis Alberto Del Castillo:
⚙️ FÓRMULA — Restaurantes nuevos vía alianzas del mes.
Vinculado a Onboarding fila 9 (suma de 5 alianzas activas).</t>
      </text>
    </comment>
    <comment ref="H10" authorId="0" shapeId="0">
      <text>
        <t>Luis Alberto Del Castillo:
⚙️ FÓRMULA — Restaurantes nuevos vía alianzas del mes.
Vinculado a Onboarding fila 9 (suma de 5 alianzas activas).</t>
      </text>
    </comment>
    <comment ref="I10" authorId="0" shapeId="0">
      <text>
        <t>Luis Alberto Del Castillo:
⚙️ FÓRMULA — Restaurantes nuevos vía alianzas del mes.
Vinculado a Onboarding fila 9 (suma de 5 alianzas activas).</t>
      </text>
    </comment>
    <comment ref="J10" authorId="0" shapeId="0">
      <text>
        <t>Luis Alberto Del Castillo:
⚙️ FÓRMULA — Restaurantes nuevos vía alianzas del mes.
Vinculado a Onboarding fila 9 (suma de 5 alianzas activas).</t>
      </text>
    </comment>
    <comment ref="K10" authorId="0" shapeId="0">
      <text>
        <t>Luis Alberto Del Castillo:
⚙️ FÓRMULA — Restaurantes nuevos vía alianzas del mes.
Vinculado a Onboarding fila 9 (suma de 5 alianzas activas).</t>
      </text>
    </comment>
    <comment ref="L10" authorId="0" shapeId="0">
      <text>
        <t>Luis Alberto Del Castillo:
⚙️ FÓRMULA — Restaurantes nuevos vía alianzas del mes.
Vinculado a Onboarding fila 9 (suma de 5 alianzas activas).</t>
      </text>
    </comment>
    <comment ref="M10" authorId="0" shapeId="0">
      <text>
        <t>Luis Alberto Del Castillo:
⚙️ FÓRMULA — Restaurantes nuevos vía alianzas del mes.
Vinculado a Onboarding fila 9 (suma de 5 alianzas activas).</t>
      </text>
    </comment>
    <comment ref="N10" authorId="0" shapeId="0">
      <text>
        <t>Luis Alberto Del Castillo:
⚙️ FÓRMULA — Restaurantes nuevos vía alianzas del mes.
Vinculado a Onboarding fila 9 (suma de 5 alianzas activas).</t>
      </text>
    </comment>
    <comment ref="O10" authorId="0" shapeId="0">
      <text>
        <t>Luis Alberto Del Castillo:
⚙️ FÓRMULA — Restaurantes nuevos vía alianzas del mes.
Vinculado a Onboarding fila 9 (suma de 5 alianzas activas).</t>
      </text>
    </comment>
    <comment ref="P10" authorId="0" shapeId="0">
      <text>
        <t>Luis Alberto Del Castillo:
⚙️ FÓRMULA — Restaurantes nuevos vía alianzas del mes.
Vinculado a Onboarding fila 9 (suma de 5 alianzas activas).</t>
      </text>
    </comment>
    <comment ref="Q10" authorId="0" shapeId="0">
      <text>
        <t>Luis Alberto Del Castillo:
⚙️ FÓRMULA — Restaurantes nuevos vía alianzas del mes.
Vinculado a Onboarding fila 9 (suma de 5 alianzas activas).</t>
      </text>
    </comment>
    <comment ref="R10" authorId="0" shapeId="0">
      <text>
        <t>Luis Alberto Del Castillo:
⚙️ FÓRMULA — Restaurantes nuevos vía alianzas del mes.
Vinculado a Onboarding fila 9 (suma de 5 alianzas activas).</t>
      </text>
    </comment>
    <comment ref="S10" authorId="0" shapeId="0">
      <text>
        <t>Luis Alberto Del Castillo:
⚙️ FÓRMULA — Restaurantes nuevos vía alianzas del mes.
Vinculado a Onboarding fila 9 (suma de 5 alianzas activas).</t>
      </text>
    </comment>
    <comment ref="T10" authorId="0" shapeId="0">
      <text>
        <t>Luis Alberto Del Castillo:
⚙️ FÓRMULA — Restaurantes nuevos vía alianzas del mes.
Vinculado a Onboarding fila 9 (suma de 5 alianzas activas).</t>
      </text>
    </comment>
    <comment ref="U10" authorId="0" shapeId="0">
      <text>
        <t>Luis Alberto Del Castillo:
⚙️ FÓRMULA — Restaurantes nuevos vía alianzas del mes.
Vinculado a Onboarding fila 9 (suma de 5 alianzas activas).</t>
      </text>
    </comment>
    <comment ref="V10" authorId="0" shapeId="0">
      <text>
        <t>Luis Alberto Del Castillo:
⚙️ FÓRMULA — Restaurantes nuevos vía alianzas del mes.
Vinculado a Onboarding fila 9 (suma de 5 alianzas activas).</t>
      </text>
    </comment>
    <comment ref="W10" authorId="0" shapeId="0">
      <text>
        <t>Luis Alberto Del Castillo:
⚙️ FÓRMULA — Restaurantes nuevos vía alianzas del mes.
Vinculado a Onboarding fila 9 (suma de 5 alianzas activas).</t>
      </text>
    </comment>
    <comment ref="X10" authorId="0" shapeId="0">
      <text>
        <t>Luis Alberto Del Castillo:
⚙️ FÓRMULA — Restaurantes nuevos vía alianzas del mes.
Vinculado a Onboarding fila 9 (suma de 5 alianzas activas).</t>
      </text>
    </comment>
    <comment ref="Y10" authorId="0" shapeId="0">
      <text>
        <t>Luis Alberto Del Castillo:
⚙️ FÓRMULA — Restaurantes nuevos vía alianzas del mes.
Vinculado a Onboarding fila 9 (suma de 5 alianzas activas).</t>
      </text>
    </comment>
    <comment ref="Z10" authorId="0" shapeId="0">
      <text>
        <t>Luis Alberto Del Castillo:
⚙️ FÓRMULA — Restaurantes nuevos vía alianzas del mes.
Vinculado a Onboarding fila 9 (suma de 5 alianzas activas).</t>
      </text>
    </comment>
    <comment ref="AA10" authorId="0" shapeId="0">
      <text>
        <t>Luis Alberto Del Castillo:
⚙️ FÓRMULA — Restaurantes nuevos vía alianzas del mes.
Vinculado a Onboarding fila 9 (suma de 5 alianzas activas).</t>
      </text>
    </comment>
    <comment ref="AB10" authorId="0" shapeId="0">
      <text>
        <t>Luis Alberto Del Castillo:
⚙️ FÓRMULA — Restaurantes nuevos vía alianzas del mes.
Vinculado a Onboarding fila 9 (suma de 5 alianzas activas).</t>
      </text>
    </comment>
    <comment ref="AC10" authorId="0" shapeId="0">
      <text>
        <t>Luis Alberto Del Castillo:
⚙️ FÓRMULA — Restaurantes nuevos vía alianzas del mes.
Vinculado a Onboarding fila 9 (suma de 5 alianzas activas).</t>
      </text>
    </comment>
    <comment ref="AD10" authorId="0" shapeId="0">
      <text>
        <t>Luis Alberto Del Castillo:
⚙️ FÓRMULA — Restaurantes nuevos vía alianzas del mes.
Vinculado a Onboarding fila 9 (suma de 5 alianzas activas).</t>
      </text>
    </comment>
    <comment ref="AE10" authorId="0" shapeId="0">
      <text>
        <t>Luis Alberto Del Castillo:
⚙️ FÓRMULA — Restaurantes nuevos vía alianzas del mes.
Vinculado a Onboarding fila 9 (suma de 5 alianzas activas).</t>
      </text>
    </comment>
    <comment ref="AF10" authorId="0" shapeId="0">
      <text>
        <t>Luis Alberto Del Castillo:
⚙️ FÓRMULA — Restaurantes nuevos vía alianzas del mes.
Vinculado a Onboarding fila 9 (suma de 5 alianzas activas).</t>
      </text>
    </comment>
    <comment ref="AG10" authorId="0" shapeId="0">
      <text>
        <t>Luis Alberto Del Castillo:
⚙️ FÓRMULA — Restaurantes nuevos vía alianzas del mes.
Vinculado a Onboarding fila 9 (suma de 5 alianzas activas).</t>
      </text>
    </comment>
    <comment ref="AH10" authorId="0" shapeId="0">
      <text>
        <t>Luis Alberto Del Castillo:
⚙️ FÓRMULA — Restaurantes nuevos vía alianzas del mes.
Vinculado a Onboarding fila 9 (suma de 5 alianzas activas).</t>
      </text>
    </comment>
    <comment ref="AI10" authorId="0" shapeId="0">
      <text>
        <t>Luis Alberto Del Castillo:
⚙️ FÓRMULA — Restaurantes nuevos vía alianzas del mes.
Vinculado a Onboarding fila 9 (suma de 5 alianzas activas).</t>
      </text>
    </comment>
    <comment ref="AJ10" authorId="0" shapeId="0">
      <text>
        <t>Luis Alberto Del Castillo:
⚙️ FÓRMULA — Restaurantes nuevos vía alianzas del mes.
Vinculado a Onboarding fila 9 (suma de 5 alianzas activas).</t>
      </text>
    </comment>
    <comment ref="AK10" authorId="0" shapeId="0">
      <text>
        <t>Luis Alberto Del Castillo:
⚙️ FÓRMULA — Restaurantes nuevos vía alianzas del mes.
Vinculado a Onboarding fila 9 (suma de 5 alianzas activas).</t>
      </text>
    </comment>
    <comment ref="AL10" authorId="0" shapeId="0">
      <text>
        <t>Luis Alberto Del Castillo:
⚙️ FÓRMULA — Restaurantes nuevos vía alianzas del mes.
Vinculado a Onboarding fila 9 (suma de 5 alianzas activas).</t>
      </text>
    </comment>
    <comment ref="AM10" authorId="0" shapeId="0">
      <text>
        <t>Luis Alberto Del Castillo:
⚙️ FÓRMULA — Restaurantes nuevos vía alianzas del mes.
Vinculado a Onboarding fila 9 (suma de 5 alianzas activas).</t>
      </text>
    </comment>
    <comment ref="AN10" authorId="0" shapeId="0">
      <text>
        <t>Luis Alberto Del Castillo:
⚙️ FÓRMULA — Restaurantes nuevos vía alianzas del mes.
Vinculado a Onboarding fila 9 (suma de 5 alianzas activas).</t>
      </text>
    </comment>
    <comment ref="AO10" authorId="0" shapeId="0">
      <text>
        <t>Luis Alberto Del Castillo:
⚙️ FÓRMULA — Restaurantes nuevos vía alianzas del mes.
Vinculado a Onboarding fila 9 (suma de 5 alianzas activas).</t>
      </text>
    </comment>
    <comment ref="AP10" authorId="0" shapeId="0">
      <text>
        <t>Luis Alberto Del Castillo:
⚙️ FÓRMULA — Restaurantes nuevos vía alianzas del mes.
Vinculado a Onboarding fila 9 (suma de 5 alianzas activas).</t>
      </text>
    </comment>
    <comment ref="AQ10" authorId="0" shapeId="0">
      <text>
        <t>Luis Alberto Del Castillo:
⚙️ FÓRMULA — Restaurantes nuevos vía alianzas del mes.
Vinculado a Onboarding fila 9 (suma de 5 alianzas activas).</t>
      </text>
    </comment>
    <comment ref="AR10" authorId="0" shapeId="0">
      <text>
        <t>Luis Alberto Del Castillo:
⚙️ FÓRMULA — Restaurantes nuevos vía alianzas del mes.
Vinculado a Onboarding fila 9 (suma de 5 alianzas activas).</t>
      </text>
    </comment>
    <comment ref="AS10" authorId="0" shapeId="0">
      <text>
        <t>Luis Alberto Del Castillo:
⚙️ FÓRMULA — Restaurantes nuevos vía alianzas del mes.
Vinculado a Onboarding fila 9 (suma de 5 alianzas activas).</t>
      </text>
    </comment>
    <comment ref="AT10" authorId="0" shapeId="0">
      <text>
        <t>Luis Alberto Del Castillo:
⚙️ FÓRMULA — Restaurantes nuevos vía alianzas del mes.
Vinculado a Onboarding fila 9 (suma de 5 alianzas activas).</t>
      </text>
    </comment>
    <comment ref="AU10" authorId="0" shapeId="0">
      <text>
        <t>Luis Alberto Del Castillo:
⚙️ FÓRMULA — Restaurantes nuevos vía alianzas del mes.
Vinculado a Onboarding fila 9 (suma de 5 alianzas activas).</t>
      </text>
    </comment>
    <comment ref="AV10" authorId="0" shapeId="0">
      <text>
        <t>Luis Alberto Del Castillo:
⚙️ FÓRMULA — Restaurantes nuevos vía alianzas del mes.
Vinculado a Onboarding fila 9 (suma de 5 alianzas activas).</t>
      </text>
    </comment>
    <comment ref="AW10" authorId="0" shapeId="0">
      <text>
        <t>Luis Alberto Del Castillo:
⚙️ FÓRMULA — Restaurantes nuevos vía alianzas del mes.
Vinculado a Onboarding fila 9 (suma de 5 alianzas activas).</t>
      </text>
    </comment>
    <comment ref="AX10" authorId="0" shapeId="0">
      <text>
        <t>Luis Alberto Del Castillo:
⚙️ FÓRMULA — Restaurantes nuevos vía alianzas del mes.
Vinculado a Onboarding fila 9 (suma de 5 alianzas activas).</t>
      </text>
    </comment>
    <comment ref="AY10" authorId="0" shapeId="0">
      <text>
        <t>Luis Alberto Del Castillo:
⚙️ FÓRMULA — Restaurantes nuevos vía alianzas del mes.
Vinculado a Onboarding fila 9 (suma de 5 alianzas activas).</t>
      </text>
    </comment>
    <comment ref="AZ10" authorId="0" shapeId="0">
      <text>
        <t>Luis Alberto Del Castillo:
⚙️ FÓRMULA — Restaurantes nuevos vía alianzas del mes.
Vinculado a Onboarding fila 9 (suma de 5 alianzas activas).</t>
      </text>
    </comment>
    <comment ref="BA10" authorId="0" shapeId="0">
      <text>
        <t>Luis Alberto Del Castillo:
⚙️ FÓRMULA — Restaurantes nuevos vía alianzas del mes.
Vinculado a Onboarding fila 9 (suma de 5 alianzas activas).</t>
      </text>
    </comment>
    <comment ref="BB10" authorId="0" shapeId="0">
      <text>
        <t>Luis Alberto Del Castillo:
⚙️ FÓRMULA — Restaurantes nuevos vía alianzas del mes.
Vinculado a Onboarding fila 9 (suma de 5 alianzas activas).</t>
      </text>
    </comment>
    <comment ref="BC10" authorId="0" shapeId="0">
      <text>
        <t>Luis Alberto Del Castillo:
⚙️ FÓRMULA — Restaurantes nuevos vía alianzas del mes.
Vinculado a Onboarding fila 9 (suma de 5 alianzas activas).</t>
      </text>
    </comment>
    <comment ref="BD10" authorId="0" shapeId="0">
      <text>
        <t>Luis Alberto Del Castillo:
⚙️ FÓRMULA — Restaurantes nuevos vía alianzas del mes.
Vinculado a Onboarding fila 9 (suma de 5 alianzas activas).</t>
      </text>
    </comment>
    <comment ref="BE10" authorId="0" shapeId="0">
      <text>
        <t>Luis Alberto Del Castillo:
⚙️ FÓRMULA — Restaurantes nuevos vía alianzas del mes.
Vinculado a Onboarding fila 9 (suma de 5 alianzas activas).</t>
      </text>
    </comment>
    <comment ref="BF10" authorId="0" shapeId="0">
      <text>
        <t>Luis Alberto Del Castillo:
⚙️ FÓRMULA — Restaurantes nuevos vía alianzas del mes.
Vinculado a Onboarding fila 9 (suma de 5 alianzas activas).</t>
      </text>
    </comment>
    <comment ref="BG10" authorId="0" shapeId="0">
      <text>
        <t>Luis Alberto Del Castillo:
⚙️ FÓRMULA — Restaurantes nuevos vía alianzas del mes.
Vinculado a Onboarding fila 9 (suma de 5 alianzas activas).</t>
      </text>
    </comment>
    <comment ref="BH10" authorId="0" shapeId="0">
      <text>
        <t>Luis Alberto Del Castillo:
⚙️ FÓRMULA — Restaurantes nuevos vía alianzas del mes.
Vinculado a Onboarding fila 9 (suma de 5 alianzas activas).</t>
      </text>
    </comment>
    <comment ref="BI10" authorId="0" shapeId="0">
      <text>
        <t>Luis Alberto Del Castillo:
⚙️ FÓRMULA — Restaurantes nuevos vía alianzas del mes.
Vinculado a Onboarding fila 9 (suma de 5 alianzas activas).</t>
      </text>
    </comment>
    <comment ref="B11" authorId="0" shapeId="0">
      <text>
        <t>Luis Alberto Del Castillo:
⚙️ FÓRMULA — CAC por restaurante alianza.
Vinculado a Palancas!B7 ($60). Incluye: marketing, remarketing, incentivos ejecutivos.</t>
      </text>
    </comment>
    <comment ref="C11" authorId="0" shapeId="0">
      <text>
        <t>Luis Alberto Del Castillo:
⚙️ FÓRMULA — CAC por restaurante alianza.
Vinculado a Palancas!B7 ($60). Incluye: marketing, remarketing, incentivos ejecutivos.</t>
      </text>
    </comment>
    <comment ref="D11" authorId="0" shapeId="0">
      <text>
        <t>Luis Alberto Del Castillo:
⚙️ FÓRMULA — CAC por restaurante alianza.
Vinculado a Palancas!B7 ($60). Incluye: marketing, remarketing, incentivos ejecutivos.</t>
      </text>
    </comment>
    <comment ref="E11" authorId="0" shapeId="0">
      <text>
        <t>Luis Alberto Del Castillo:
⚙️ FÓRMULA — CAC por restaurante alianza.
Vinculado a Palancas!B7 ($60). Incluye: marketing, remarketing, incentivos ejecutivos.</t>
      </text>
    </comment>
    <comment ref="F11" authorId="0" shapeId="0">
      <text>
        <t>Luis Alberto Del Castillo:
⚙️ FÓRMULA — CAC por restaurante alianza.
Vinculado a Palancas!B7 ($60). Incluye: marketing, remarketing, incentivos ejecutivos.</t>
      </text>
    </comment>
    <comment ref="G11" authorId="0" shapeId="0">
      <text>
        <t>Luis Alberto Del Castillo:
⚙️ FÓRMULA — CAC por restaurante alianza.
Vinculado a Palancas!B7 ($60). Incluye: marketing, remarketing, incentivos ejecutivos.</t>
      </text>
    </comment>
    <comment ref="H11" authorId="0" shapeId="0">
      <text>
        <t>Luis Alberto Del Castillo:
⚙️ FÓRMULA — CAC por restaurante alianza.
Vinculado a Palancas!B7 ($60). Incluye: marketing, remarketing, incentivos ejecutivos.</t>
      </text>
    </comment>
    <comment ref="I11" authorId="0" shapeId="0">
      <text>
        <t>Luis Alberto Del Castillo:
⚙️ FÓRMULA — CAC por restaurante alianza.
Vinculado a Palancas!B7 ($60). Incluye: marketing, remarketing, incentivos ejecutivos.</t>
      </text>
    </comment>
    <comment ref="J11" authorId="0" shapeId="0">
      <text>
        <t>Luis Alberto Del Castillo:
⚙️ FÓRMULA — CAC por restaurante alianza.
Vinculado a Palancas!B7 ($60). Incluye: marketing, remarketing, incentivos ejecutivos.</t>
      </text>
    </comment>
    <comment ref="K11" authorId="0" shapeId="0">
      <text>
        <t>Luis Alberto Del Castillo:
⚙️ FÓRMULA — CAC por restaurante alianza.
Vinculado a Palancas!B7 ($60). Incluye: marketing, remarketing, incentivos ejecutivos.</t>
      </text>
    </comment>
    <comment ref="L11" authorId="0" shapeId="0">
      <text>
        <t>Luis Alberto Del Castillo:
⚙️ FÓRMULA — CAC por restaurante alianza.
Vinculado a Palancas!B7 ($60). Incluye: marketing, remarketing, incentivos ejecutivos.</t>
      </text>
    </comment>
    <comment ref="M11" authorId="0" shapeId="0">
      <text>
        <t>Luis Alberto Del Castillo:
⚙️ FÓRMULA — CAC por restaurante alianza.
Vinculado a Palancas!B7 ($60). Incluye: marketing, remarketing, incentivos ejecutivos.</t>
      </text>
    </comment>
    <comment ref="N11" authorId="0" shapeId="0">
      <text>
        <t>Luis Alberto Del Castillo:
⚙️ FÓRMULA — CAC por restaurante alianza.
Vinculado a Palancas!B7 ($60). Incluye: marketing, remarketing, incentivos ejecutivos.</t>
      </text>
    </comment>
    <comment ref="O11" authorId="0" shapeId="0">
      <text>
        <t>Luis Alberto Del Castillo:
⚙️ FÓRMULA — CAC por restaurante alianza.
Vinculado a Palancas!B7 ($60). Incluye: marketing, remarketing, incentivos ejecutivos.</t>
      </text>
    </comment>
    <comment ref="P11" authorId="0" shapeId="0">
      <text>
        <t>Luis Alberto Del Castillo:
⚙️ FÓRMULA — CAC por restaurante alianza.
Vinculado a Palancas!B7 ($60). Incluye: marketing, remarketing, incentivos ejecutivos.</t>
      </text>
    </comment>
    <comment ref="Q11" authorId="0" shapeId="0">
      <text>
        <t>Luis Alberto Del Castillo:
⚙️ FÓRMULA — CAC por restaurante alianza.
Vinculado a Palancas!B7 ($60). Incluye: marketing, remarketing, incentivos ejecutivos.</t>
      </text>
    </comment>
    <comment ref="R11" authorId="0" shapeId="0">
      <text>
        <t>Luis Alberto Del Castillo:
⚙️ FÓRMULA — CAC por restaurante alianza.
Vinculado a Palancas!B7 ($60). Incluye: marketing, remarketing, incentivos ejecutivos.</t>
      </text>
    </comment>
    <comment ref="S11" authorId="0" shapeId="0">
      <text>
        <t>Luis Alberto Del Castillo:
⚙️ FÓRMULA — CAC por restaurante alianza.
Vinculado a Palancas!B7 ($60). Incluye: marketing, remarketing, incentivos ejecutivos.</t>
      </text>
    </comment>
    <comment ref="T11" authorId="0" shapeId="0">
      <text>
        <t>Luis Alberto Del Castillo:
⚙️ FÓRMULA — CAC por restaurante alianza.
Vinculado a Palancas!B7 ($60). Incluye: marketing, remarketing, incentivos ejecutivos.</t>
      </text>
    </comment>
    <comment ref="U11" authorId="0" shapeId="0">
      <text>
        <t>Luis Alberto Del Castillo:
⚙️ FÓRMULA — CAC por restaurante alianza.
Vinculado a Palancas!B7 ($60). Incluye: marketing, remarketing, incentivos ejecutivos.</t>
      </text>
    </comment>
    <comment ref="V11" authorId="0" shapeId="0">
      <text>
        <t>Luis Alberto Del Castillo:
⚙️ FÓRMULA — CAC por restaurante alianza.
Vinculado a Palancas!B7 ($60). Incluye: marketing, remarketing, incentivos ejecutivos.</t>
      </text>
    </comment>
    <comment ref="W11" authorId="0" shapeId="0">
      <text>
        <t>Luis Alberto Del Castillo:
⚙️ FÓRMULA — CAC por restaurante alianza.
Vinculado a Palancas!B7 ($60). Incluye: marketing, remarketing, incentivos ejecutivos.</t>
      </text>
    </comment>
    <comment ref="X11" authorId="0" shapeId="0">
      <text>
        <t>Luis Alberto Del Castillo:
⚙️ FÓRMULA — CAC por restaurante alianza.
Vinculado a Palancas!B7 ($60). Incluye: marketing, remarketing, incentivos ejecutivos.</t>
      </text>
    </comment>
    <comment ref="Y11" authorId="0" shapeId="0">
      <text>
        <t>Luis Alberto Del Castillo:
⚙️ FÓRMULA — CAC por restaurante alianza.
Vinculado a Palancas!B7 ($60). Incluye: marketing, remarketing, incentivos ejecutivos.</t>
      </text>
    </comment>
    <comment ref="Z11" authorId="0" shapeId="0">
      <text>
        <t>Luis Alberto Del Castillo:
⚙️ FÓRMULA — CAC por restaurante alianza.
Vinculado a Palancas!B7 ($60). Incluye: marketing, remarketing, incentivos ejecutivos.</t>
      </text>
    </comment>
    <comment ref="AA11" authorId="0" shapeId="0">
      <text>
        <t>Luis Alberto Del Castillo:
⚙️ FÓRMULA — CAC por restaurante alianza.
Vinculado a Palancas!B7 ($60). Incluye: marketing, remarketing, incentivos ejecutivos.</t>
      </text>
    </comment>
    <comment ref="AB11" authorId="0" shapeId="0">
      <text>
        <t>Luis Alberto Del Castillo:
⚙️ FÓRMULA — CAC por restaurante alianza.
Vinculado a Palancas!B7 ($60). Incluye: marketing, remarketing, incentivos ejecutivos.</t>
      </text>
    </comment>
    <comment ref="AC11" authorId="0" shapeId="0">
      <text>
        <t>Luis Alberto Del Castillo:
⚙️ FÓRMULA — CAC por restaurante alianza.
Vinculado a Palancas!B7 ($60). Incluye: marketing, remarketing, incentivos ejecutivos.</t>
      </text>
    </comment>
    <comment ref="AD11" authorId="0" shapeId="0">
      <text>
        <t>Luis Alberto Del Castillo:
⚙️ FÓRMULA — CAC por restaurante alianza.
Vinculado a Palancas!B7 ($60). Incluye: marketing, remarketing, incentivos ejecutivos.</t>
      </text>
    </comment>
    <comment ref="AE11" authorId="0" shapeId="0">
      <text>
        <t>Luis Alberto Del Castillo:
⚙️ FÓRMULA — CAC por restaurante alianza.
Vinculado a Palancas!B7 ($60). Incluye: marketing, remarketing, incentivos ejecutivos.</t>
      </text>
    </comment>
    <comment ref="AF11" authorId="0" shapeId="0">
      <text>
        <t>Luis Alberto Del Castillo:
⚙️ FÓRMULA — CAC por restaurante alianza.
Vinculado a Palancas!B7 ($60). Incluye: marketing, remarketing, incentivos ejecutivos.</t>
      </text>
    </comment>
    <comment ref="AG11" authorId="0" shapeId="0">
      <text>
        <t>Luis Alberto Del Castillo:
⚙️ FÓRMULA — CAC por restaurante alianza.
Vinculado a Palancas!B7 ($60). Incluye: marketing, remarketing, incentivos ejecutivos.</t>
      </text>
    </comment>
    <comment ref="AH11" authorId="0" shapeId="0">
      <text>
        <t>Luis Alberto Del Castillo:
⚙️ FÓRMULA — CAC por restaurante alianza.
Vinculado a Palancas!B7 ($60). Incluye: marketing, remarketing, incentivos ejecutivos.</t>
      </text>
    </comment>
    <comment ref="AI11" authorId="0" shapeId="0">
      <text>
        <t>Luis Alberto Del Castillo:
⚙️ FÓRMULA — CAC por restaurante alianza.
Vinculado a Palancas!B7 ($60). Incluye: marketing, remarketing, incentivos ejecutivos.</t>
      </text>
    </comment>
    <comment ref="AJ11" authorId="0" shapeId="0">
      <text>
        <t>Luis Alberto Del Castillo:
⚙️ FÓRMULA — CAC por restaurante alianza.
Vinculado a Palancas!B7 ($60). Incluye: marketing, remarketing, incentivos ejecutivos.</t>
      </text>
    </comment>
    <comment ref="AK11" authorId="0" shapeId="0">
      <text>
        <t>Luis Alberto Del Castillo:
⚙️ FÓRMULA — CAC por restaurante alianza.
Vinculado a Palancas!B7 ($60). Incluye: marketing, remarketing, incentivos ejecutivos.</t>
      </text>
    </comment>
    <comment ref="AL11" authorId="0" shapeId="0">
      <text>
        <t>Luis Alberto Del Castillo:
⚙️ FÓRMULA — CAC por restaurante alianza.
Vinculado a Palancas!B7 ($60). Incluye: marketing, remarketing, incentivos ejecutivos.</t>
      </text>
    </comment>
    <comment ref="AM11" authorId="0" shapeId="0">
      <text>
        <t>Luis Alberto Del Castillo:
⚙️ FÓRMULA — CAC por restaurante alianza.
Vinculado a Palancas!B7 ($60). Incluye: marketing, remarketing, incentivos ejecutivos.</t>
      </text>
    </comment>
    <comment ref="AN11" authorId="0" shapeId="0">
      <text>
        <t>Luis Alberto Del Castillo:
⚙️ FÓRMULA — CAC por restaurante alianza.
Vinculado a Palancas!B7 ($60). Incluye: marketing, remarketing, incentivos ejecutivos.</t>
      </text>
    </comment>
    <comment ref="AO11" authorId="0" shapeId="0">
      <text>
        <t>Luis Alberto Del Castillo:
⚙️ FÓRMULA — CAC por restaurante alianza.
Vinculado a Palancas!B7 ($60). Incluye: marketing, remarketing, incentivos ejecutivos.</t>
      </text>
    </comment>
    <comment ref="AP11" authorId="0" shapeId="0">
      <text>
        <t>Luis Alberto Del Castillo:
⚙️ FÓRMULA — CAC por restaurante alianza.
Vinculado a Palancas!B7 ($60). Incluye: marketing, remarketing, incentivos ejecutivos.</t>
      </text>
    </comment>
    <comment ref="AQ11" authorId="0" shapeId="0">
      <text>
        <t>Luis Alberto Del Castillo:
⚙️ FÓRMULA — CAC por restaurante alianza.
Vinculado a Palancas!B7 ($60). Incluye: marketing, remarketing, incentivos ejecutivos.</t>
      </text>
    </comment>
    <comment ref="AR11" authorId="0" shapeId="0">
      <text>
        <t>Luis Alberto Del Castillo:
⚙️ FÓRMULA — CAC por restaurante alianza.
Vinculado a Palancas!B7 ($60). Incluye: marketing, remarketing, incentivos ejecutivos.</t>
      </text>
    </comment>
    <comment ref="AS11" authorId="0" shapeId="0">
      <text>
        <t>Luis Alberto Del Castillo:
⚙️ FÓRMULA — CAC por restaurante alianza.
Vinculado a Palancas!B7 ($60). Incluye: marketing, remarketing, incentivos ejecutivos.</t>
      </text>
    </comment>
    <comment ref="AT11" authorId="0" shapeId="0">
      <text>
        <t>Luis Alberto Del Castillo:
⚙️ FÓRMULA — CAC por restaurante alianza.
Vinculado a Palancas!B7 ($60). Incluye: marketing, remarketing, incentivos ejecutivos.</t>
      </text>
    </comment>
    <comment ref="AU11" authorId="0" shapeId="0">
      <text>
        <t>Luis Alberto Del Castillo:
⚙️ FÓRMULA — CAC por restaurante alianza.
Vinculado a Palancas!B7 ($60). Incluye: marketing, remarketing, incentivos ejecutivos.</t>
      </text>
    </comment>
    <comment ref="AV11" authorId="0" shapeId="0">
      <text>
        <t>Luis Alberto Del Castillo:
⚙️ FÓRMULA — CAC por restaurante alianza.
Vinculado a Palancas!B7 ($60). Incluye: marketing, remarketing, incentivos ejecutivos.</t>
      </text>
    </comment>
    <comment ref="AW11" authorId="0" shapeId="0">
      <text>
        <t>Luis Alberto Del Castillo:
⚙️ FÓRMULA — CAC por restaurante alianza.
Vinculado a Palancas!B7 ($60). Incluye: marketing, remarketing, incentivos ejecutivos.</t>
      </text>
    </comment>
    <comment ref="AX11" authorId="0" shapeId="0">
      <text>
        <t>Luis Alberto Del Castillo:
⚙️ FÓRMULA — CAC por restaurante alianza.
Vinculado a Palancas!B7 ($60). Incluye: marketing, remarketing, incentivos ejecutivos.</t>
      </text>
    </comment>
    <comment ref="AY11" authorId="0" shapeId="0">
      <text>
        <t>Luis Alberto Del Castillo:
⚙️ FÓRMULA — CAC por restaurante alianza.
Vinculado a Palancas!B7 ($60). Incluye: marketing, remarketing, incentivos ejecutivos.</t>
      </text>
    </comment>
    <comment ref="AZ11" authorId="0" shapeId="0">
      <text>
        <t>Luis Alberto Del Castillo:
⚙️ FÓRMULA — CAC por restaurante alianza.
Vinculado a Palancas!B7 ($60). Incluye: marketing, remarketing, incentivos ejecutivos.</t>
      </text>
    </comment>
    <comment ref="BA11" authorId="0" shapeId="0">
      <text>
        <t>Luis Alberto Del Castillo:
⚙️ FÓRMULA — CAC por restaurante alianza.
Vinculado a Palancas!B7 ($60). Incluye: marketing, remarketing, incentivos ejecutivos.</t>
      </text>
    </comment>
    <comment ref="BB11" authorId="0" shapeId="0">
      <text>
        <t>Luis Alberto Del Castillo:
⚙️ FÓRMULA — CAC por restaurante alianza.
Vinculado a Palancas!B7 ($60). Incluye: marketing, remarketing, incentivos ejecutivos.</t>
      </text>
    </comment>
    <comment ref="BC11" authorId="0" shapeId="0">
      <text>
        <t>Luis Alberto Del Castillo:
⚙️ FÓRMULA — CAC por restaurante alianza.
Vinculado a Palancas!B7 ($60). Incluye: marketing, remarketing, incentivos ejecutivos.</t>
      </text>
    </comment>
    <comment ref="BD11" authorId="0" shapeId="0">
      <text>
        <t>Luis Alberto Del Castillo:
⚙️ FÓRMULA — CAC por restaurante alianza.
Vinculado a Palancas!B7 ($60). Incluye: marketing, remarketing, incentivos ejecutivos.</t>
      </text>
    </comment>
    <comment ref="BE11" authorId="0" shapeId="0">
      <text>
        <t>Luis Alberto Del Castillo:
⚙️ FÓRMULA — CAC por restaurante alianza.
Vinculado a Palancas!B7 ($60). Incluye: marketing, remarketing, incentivos ejecutivos.</t>
      </text>
    </comment>
    <comment ref="BF11" authorId="0" shapeId="0">
      <text>
        <t>Luis Alberto Del Castillo:
⚙️ FÓRMULA — CAC por restaurante alianza.
Vinculado a Palancas!B7 ($60). Incluye: marketing, remarketing, incentivos ejecutivos.</t>
      </text>
    </comment>
    <comment ref="BG11" authorId="0" shapeId="0">
      <text>
        <t>Luis Alberto Del Castillo:
⚙️ FÓRMULA — CAC por restaurante alianza.
Vinculado a Palancas!B7 ($60). Incluye: marketing, remarketing, incentivos ejecutivos.</t>
      </text>
    </comment>
    <comment ref="BH11" authorId="0" shapeId="0">
      <text>
        <t>Luis Alberto Del Castillo:
⚙️ FÓRMULA — CAC por restaurante alianza.
Vinculado a Palancas!B7 ($60). Incluye: marketing, remarketing, incentivos ejecutivos.</t>
      </text>
    </comment>
    <comment ref="BI11" authorId="0" shapeId="0">
      <text>
        <t>Luis Alberto Del Castillo:
⚙️ FÓRMULA — CAC por restaurante alianza.
Vinculado a Palancas!B7 ($60). Incluye: marketing, remarketing, incentivos ejecutivos.</t>
      </text>
    </comment>
    <comment ref="B12" authorId="0" shapeId="0">
      <text>
        <t>Luis Alberto Del Castillo:
⚙️ FÓRMULA — Costo total adquisición alianzas = rest alianzas × CAC unitario alianzas</t>
      </text>
    </comment>
    <comment ref="C12" authorId="0" shapeId="0">
      <text>
        <t>Luis Alberto Del Castillo:
⚙️ FÓRMULA — Costo total adquisición alianzas = rest alianzas × CAC unitario alianzas</t>
      </text>
    </comment>
    <comment ref="D12" authorId="0" shapeId="0">
      <text>
        <t>Luis Alberto Del Castillo:
⚙️ FÓRMULA — Costo total adquisición alianzas = rest alianzas × CAC unitario alianzas</t>
      </text>
    </comment>
    <comment ref="E12" authorId="0" shapeId="0">
      <text>
        <t>Luis Alberto Del Castillo:
⚙️ FÓRMULA — Costo total adquisición alianzas = rest alianzas × CAC unitario alianzas</t>
      </text>
    </comment>
    <comment ref="F12" authorId="0" shapeId="0">
      <text>
        <t>Luis Alberto Del Castillo:
⚙️ FÓRMULA — Costo total adquisición alianzas = rest alianzas × CAC unitario alianzas</t>
      </text>
    </comment>
    <comment ref="G12" authorId="0" shapeId="0">
      <text>
        <t>Luis Alberto Del Castillo:
⚙️ FÓRMULA — Costo total adquisición alianzas = rest alianzas × CAC unitario alianzas</t>
      </text>
    </comment>
    <comment ref="H12" authorId="0" shapeId="0">
      <text>
        <t>Luis Alberto Del Castillo:
⚙️ FÓRMULA — Costo total adquisición alianzas = rest alianzas × CAC unitario alianzas</t>
      </text>
    </comment>
    <comment ref="I12" authorId="0" shapeId="0">
      <text>
        <t>Luis Alberto Del Castillo:
⚙️ FÓRMULA — Costo total adquisición alianzas = rest alianzas × CAC unitario alianzas</t>
      </text>
    </comment>
    <comment ref="J12" authorId="0" shapeId="0">
      <text>
        <t>Luis Alberto Del Castillo:
⚙️ FÓRMULA — Costo total adquisición alianzas = rest alianzas × CAC unitario alianzas</t>
      </text>
    </comment>
    <comment ref="K12" authorId="0" shapeId="0">
      <text>
        <t>Luis Alberto Del Castillo:
⚙️ FÓRMULA — Costo total adquisición alianzas = rest alianzas × CAC unitario alianzas</t>
      </text>
    </comment>
    <comment ref="L12" authorId="0" shapeId="0">
      <text>
        <t>Luis Alberto Del Castillo:
⚙️ FÓRMULA — Costo total adquisición alianzas = rest alianzas × CAC unitario alianzas</t>
      </text>
    </comment>
    <comment ref="M12" authorId="0" shapeId="0">
      <text>
        <t>Luis Alberto Del Castillo:
⚙️ FÓRMULA — Costo total adquisición alianzas = rest alianzas × CAC unitario alianzas</t>
      </text>
    </comment>
    <comment ref="N12" authorId="0" shapeId="0">
      <text>
        <t>Luis Alberto Del Castillo:
⚙️ FÓRMULA — Costo total adquisición alianzas = rest alianzas × CAC unitario alianzas</t>
      </text>
    </comment>
    <comment ref="O12" authorId="0" shapeId="0">
      <text>
        <t>Luis Alberto Del Castillo:
⚙️ FÓRMULA — Costo total adquisición alianzas = rest alianzas × CAC unitario alianzas</t>
      </text>
    </comment>
    <comment ref="P12" authorId="0" shapeId="0">
      <text>
        <t>Luis Alberto Del Castillo:
⚙️ FÓRMULA — Costo total adquisición alianzas = rest alianzas × CAC unitario alianzas</t>
      </text>
    </comment>
    <comment ref="Q12" authorId="0" shapeId="0">
      <text>
        <t>Luis Alberto Del Castillo:
⚙️ FÓRMULA — Costo total adquisición alianzas = rest alianzas × CAC unitario alianzas</t>
      </text>
    </comment>
    <comment ref="R12" authorId="0" shapeId="0">
      <text>
        <t>Luis Alberto Del Castillo:
⚙️ FÓRMULA — Costo total adquisición alianzas = rest alianzas × CAC unitario alianzas</t>
      </text>
    </comment>
    <comment ref="S12" authorId="0" shapeId="0">
      <text>
        <t>Luis Alberto Del Castillo:
⚙️ FÓRMULA — Costo total adquisición alianzas = rest alianzas × CAC unitario alianzas</t>
      </text>
    </comment>
    <comment ref="T12" authorId="0" shapeId="0">
      <text>
        <t>Luis Alberto Del Castillo:
⚙️ FÓRMULA — Costo total adquisición alianzas = rest alianzas × CAC unitario alianzas</t>
      </text>
    </comment>
    <comment ref="U12" authorId="0" shapeId="0">
      <text>
        <t>Luis Alberto Del Castillo:
⚙️ FÓRMULA — Costo total adquisición alianzas = rest alianzas × CAC unitario alianzas</t>
      </text>
    </comment>
    <comment ref="V12" authorId="0" shapeId="0">
      <text>
        <t>Luis Alberto Del Castillo:
⚙️ FÓRMULA — Costo total adquisición alianzas = rest alianzas × CAC unitario alianzas</t>
      </text>
    </comment>
    <comment ref="W12" authorId="0" shapeId="0">
      <text>
        <t>Luis Alberto Del Castillo:
⚙️ FÓRMULA — Costo total adquisición alianzas = rest alianzas × CAC unitario alianzas</t>
      </text>
    </comment>
    <comment ref="X12" authorId="0" shapeId="0">
      <text>
        <t>Luis Alberto Del Castillo:
⚙️ FÓRMULA — Costo total adquisición alianzas = rest alianzas × CAC unitario alianzas</t>
      </text>
    </comment>
    <comment ref="Y12" authorId="0" shapeId="0">
      <text>
        <t>Luis Alberto Del Castillo:
⚙️ FÓRMULA — Costo total adquisición alianzas = rest alianzas × CAC unitario alianzas</t>
      </text>
    </comment>
    <comment ref="Z12" authorId="0" shapeId="0">
      <text>
        <t>Luis Alberto Del Castillo:
⚙️ FÓRMULA — Costo total adquisición alianzas = rest alianzas × CAC unitario alianzas</t>
      </text>
    </comment>
    <comment ref="AA12" authorId="0" shapeId="0">
      <text>
        <t>Luis Alberto Del Castillo:
⚙️ FÓRMULA — Costo total adquisición alianzas = rest alianzas × CAC unitario alianzas</t>
      </text>
    </comment>
    <comment ref="AB12" authorId="0" shapeId="0">
      <text>
        <t>Luis Alberto Del Castillo:
⚙️ FÓRMULA — Costo total adquisición alianzas = rest alianzas × CAC unitario alianzas</t>
      </text>
    </comment>
    <comment ref="AC12" authorId="0" shapeId="0">
      <text>
        <t>Luis Alberto Del Castillo:
⚙️ FÓRMULA — Costo total adquisición alianzas = rest alianzas × CAC unitario alianzas</t>
      </text>
    </comment>
    <comment ref="AD12" authorId="0" shapeId="0">
      <text>
        <t>Luis Alberto Del Castillo:
⚙️ FÓRMULA — Costo total adquisición alianzas = rest alianzas × CAC unitario alianzas</t>
      </text>
    </comment>
    <comment ref="AE12" authorId="0" shapeId="0">
      <text>
        <t>Luis Alberto Del Castillo:
⚙️ FÓRMULA — Costo total adquisición alianzas = rest alianzas × CAC unitario alianzas</t>
      </text>
    </comment>
    <comment ref="AF12" authorId="0" shapeId="0">
      <text>
        <t>Luis Alberto Del Castillo:
⚙️ FÓRMULA — Costo total adquisición alianzas = rest alianzas × CAC unitario alianzas</t>
      </text>
    </comment>
    <comment ref="AG12" authorId="0" shapeId="0">
      <text>
        <t>Luis Alberto Del Castillo:
⚙️ FÓRMULA — Costo total adquisición alianzas = rest alianzas × CAC unitario alianzas</t>
      </text>
    </comment>
    <comment ref="AH12" authorId="0" shapeId="0">
      <text>
        <t>Luis Alberto Del Castillo:
⚙️ FÓRMULA — Costo total adquisición alianzas = rest alianzas × CAC unitario alianzas</t>
      </text>
    </comment>
    <comment ref="AI12" authorId="0" shapeId="0">
      <text>
        <t>Luis Alberto Del Castillo:
⚙️ FÓRMULA — Costo total adquisición alianzas = rest alianzas × CAC unitario alianzas</t>
      </text>
    </comment>
    <comment ref="AJ12" authorId="0" shapeId="0">
      <text>
        <t>Luis Alberto Del Castillo:
⚙️ FÓRMULA — Costo total adquisición alianzas = rest alianzas × CAC unitario alianzas</t>
      </text>
    </comment>
    <comment ref="AK12" authorId="0" shapeId="0">
      <text>
        <t>Luis Alberto Del Castillo:
⚙️ FÓRMULA — Costo total adquisición alianzas = rest alianzas × CAC unitario alianzas</t>
      </text>
    </comment>
    <comment ref="AL12" authorId="0" shapeId="0">
      <text>
        <t>Luis Alberto Del Castillo:
⚙️ FÓRMULA — Costo total adquisición alianzas = rest alianzas × CAC unitario alianzas</t>
      </text>
    </comment>
    <comment ref="AM12" authorId="0" shapeId="0">
      <text>
        <t>Luis Alberto Del Castillo:
⚙️ FÓRMULA — Costo total adquisición alianzas = rest alianzas × CAC unitario alianzas</t>
      </text>
    </comment>
    <comment ref="AN12" authorId="0" shapeId="0">
      <text>
        <t>Luis Alberto Del Castillo:
⚙️ FÓRMULA — Costo total adquisición alianzas = rest alianzas × CAC unitario alianzas</t>
      </text>
    </comment>
    <comment ref="AO12" authorId="0" shapeId="0">
      <text>
        <t>Luis Alberto Del Castillo:
⚙️ FÓRMULA — Costo total adquisición alianzas = rest alianzas × CAC unitario alianzas</t>
      </text>
    </comment>
    <comment ref="AP12" authorId="0" shapeId="0">
      <text>
        <t>Luis Alberto Del Castillo:
⚙️ FÓRMULA — Costo total adquisición alianzas = rest alianzas × CAC unitario alianzas</t>
      </text>
    </comment>
    <comment ref="AQ12" authorId="0" shapeId="0">
      <text>
        <t>Luis Alberto Del Castillo:
⚙️ FÓRMULA — Costo total adquisición alianzas = rest alianzas × CAC unitario alianzas</t>
      </text>
    </comment>
    <comment ref="AR12" authorId="0" shapeId="0">
      <text>
        <t>Luis Alberto Del Castillo:
⚙️ FÓRMULA — Costo total adquisición alianzas = rest alianzas × CAC unitario alianzas</t>
      </text>
    </comment>
    <comment ref="AS12" authorId="0" shapeId="0">
      <text>
        <t>Luis Alberto Del Castillo:
⚙️ FÓRMULA — Costo total adquisición alianzas = rest alianzas × CAC unitario alianzas</t>
      </text>
    </comment>
    <comment ref="AT12" authorId="0" shapeId="0">
      <text>
        <t>Luis Alberto Del Castillo:
⚙️ FÓRMULA — Costo total adquisición alianzas = rest alianzas × CAC unitario alianzas</t>
      </text>
    </comment>
    <comment ref="AU12" authorId="0" shapeId="0">
      <text>
        <t>Luis Alberto Del Castillo:
⚙️ FÓRMULA — Costo total adquisición alianzas = rest alianzas × CAC unitario alianzas</t>
      </text>
    </comment>
    <comment ref="AV12" authorId="0" shapeId="0">
      <text>
        <t>Luis Alberto Del Castillo:
⚙️ FÓRMULA — Costo total adquisición alianzas = rest alianzas × CAC unitario alianzas</t>
      </text>
    </comment>
    <comment ref="AW12" authorId="0" shapeId="0">
      <text>
        <t>Luis Alberto Del Castillo:
⚙️ FÓRMULA — Costo total adquisición alianzas = rest alianzas × CAC unitario alianzas</t>
      </text>
    </comment>
    <comment ref="AX12" authorId="0" shapeId="0">
      <text>
        <t>Luis Alberto Del Castillo:
⚙️ FÓRMULA — Costo total adquisición alianzas = rest alianzas × CAC unitario alianzas</t>
      </text>
    </comment>
    <comment ref="AY12" authorId="0" shapeId="0">
      <text>
        <t>Luis Alberto Del Castillo:
⚙️ FÓRMULA — Costo total adquisición alianzas = rest alianzas × CAC unitario alianzas</t>
      </text>
    </comment>
    <comment ref="AZ12" authorId="0" shapeId="0">
      <text>
        <t>Luis Alberto Del Castillo:
⚙️ FÓRMULA — Costo total adquisición alianzas = rest alianzas × CAC unitario alianzas</t>
      </text>
    </comment>
    <comment ref="BA12" authorId="0" shapeId="0">
      <text>
        <t>Luis Alberto Del Castillo:
⚙️ FÓRMULA — Costo total adquisición alianzas = rest alianzas × CAC unitario alianzas</t>
      </text>
    </comment>
    <comment ref="BB12" authorId="0" shapeId="0">
      <text>
        <t>Luis Alberto Del Castillo:
⚙️ FÓRMULA — Costo total adquisición alianzas = rest alianzas × CAC unitario alianzas</t>
      </text>
    </comment>
    <comment ref="BC12" authorId="0" shapeId="0">
      <text>
        <t>Luis Alberto Del Castillo:
⚙️ FÓRMULA — Costo total adquisición alianzas = rest alianzas × CAC unitario alianzas</t>
      </text>
    </comment>
    <comment ref="BD12" authorId="0" shapeId="0">
      <text>
        <t>Luis Alberto Del Castillo:
⚙️ FÓRMULA — Costo total adquisición alianzas = rest alianzas × CAC unitario alianzas</t>
      </text>
    </comment>
    <comment ref="BE12" authorId="0" shapeId="0">
      <text>
        <t>Luis Alberto Del Castillo:
⚙️ FÓRMULA — Costo total adquisición alianzas = rest alianzas × CAC unitario alianzas</t>
      </text>
    </comment>
    <comment ref="BF12" authorId="0" shapeId="0">
      <text>
        <t>Luis Alberto Del Castillo:
⚙️ FÓRMULA — Costo total adquisición alianzas = rest alianzas × CAC unitario alianzas</t>
      </text>
    </comment>
    <comment ref="BG12" authorId="0" shapeId="0">
      <text>
        <t>Luis Alberto Del Castillo:
⚙️ FÓRMULA — Costo total adquisición alianzas = rest alianzas × CAC unitario alianzas</t>
      </text>
    </comment>
    <comment ref="BH12" authorId="0" shapeId="0">
      <text>
        <t>Luis Alberto Del Castillo:
⚙️ FÓRMULA — Costo total adquisición alianzas = rest alianzas × CAC unitario alianzas</t>
      </text>
    </comment>
    <comment ref="BI12" authorId="0" shapeId="0">
      <text>
        <t>Luis Alberto Del Castillo:
⚙️ FÓRMULA — Costo total adquisición alianzas = rest alianzas × CAC unitario alianzas</t>
      </text>
    </comment>
    <comment ref="B30" authorId="0" shapeId="0">
      <text>
        <t>Luis Alberto Del Castillo:
⚙️ FÓRMULA — CAC Blended = (CAC directos + CAC alianzas + Comisiones + Publicidad + Descuento referidos) / Total nuevos.
Ahora incluye B12 (costo adquisición alianzas).</t>
      </text>
    </comment>
    <comment ref="C30" authorId="0" shapeId="0">
      <text>
        <t>Luis Alberto Del Castillo:
⚙️ FÓRMULA — CAC Blended = (CAC directos + CAC alianzas + Comisiones + Publicidad + Descuento referidos) / Total nuevos.
Ahora incluye B12 (costo adquisición alianzas).</t>
      </text>
    </comment>
    <comment ref="D30" authorId="0" shapeId="0">
      <text>
        <t>Luis Alberto Del Castillo:
⚙️ FÓRMULA — CAC Blended = (CAC directos + CAC alianzas + Comisiones + Publicidad + Descuento referidos) / Total nuevos.
Ahora incluye B12 (costo adquisición alianzas).</t>
      </text>
    </comment>
    <comment ref="E30" authorId="0" shapeId="0">
      <text>
        <t>Luis Alberto Del Castillo:
⚙️ FÓRMULA — CAC Blended = (CAC directos + CAC alianzas + Comisiones + Publicidad + Descuento referidos) / Total nuevos.
Ahora incluye B12 (costo adquisición alianzas).</t>
      </text>
    </comment>
    <comment ref="F30" authorId="0" shapeId="0">
      <text>
        <t>Luis Alberto Del Castillo:
⚙️ FÓRMULA — CAC Blended = (CAC directos + CAC alianzas + Comisiones + Publicidad + Descuento referidos) / Total nuevos.
Ahora incluye B12 (costo adquisición alianzas).</t>
      </text>
    </comment>
    <comment ref="G30" authorId="0" shapeId="0">
      <text>
        <t>Luis Alberto Del Castillo:
⚙️ FÓRMULA — CAC Blended = (CAC directos + CAC alianzas + Comisiones + Publicidad + Descuento referidos) / Total nuevos.
Ahora incluye B12 (costo adquisición alianzas).</t>
      </text>
    </comment>
    <comment ref="H30" authorId="0" shapeId="0">
      <text>
        <t>Luis Alberto Del Castillo:
⚙️ FÓRMULA — CAC Blended = (CAC directos + CAC alianzas + Comisiones + Publicidad + Descuento referidos) / Total nuevos.
Ahora incluye B12 (costo adquisición alianzas).</t>
      </text>
    </comment>
    <comment ref="I30" authorId="0" shapeId="0">
      <text>
        <t>Luis Alberto Del Castillo:
⚙️ FÓRMULA — CAC Blended = (CAC directos + CAC alianzas + Comisiones + Publicidad + Descuento referidos) / Total nuevos.
Ahora incluye B12 (costo adquisición alianzas).</t>
      </text>
    </comment>
    <comment ref="J30" authorId="0" shapeId="0">
      <text>
        <t>Luis Alberto Del Castillo:
⚙️ FÓRMULA — CAC Blended = (CAC directos + CAC alianzas + Comisiones + Publicidad + Descuento referidos) / Total nuevos.
Ahora incluye B12 (costo adquisición alianzas).</t>
      </text>
    </comment>
    <comment ref="K30" authorId="0" shapeId="0">
      <text>
        <t>Luis Alberto Del Castillo:
⚙️ FÓRMULA — CAC Blended = (CAC directos + CAC alianzas + Comisiones + Publicidad + Descuento referidos) / Total nuevos.
Ahora incluye B12 (costo adquisición alianzas).</t>
      </text>
    </comment>
    <comment ref="L30" authorId="0" shapeId="0">
      <text>
        <t>Luis Alberto Del Castillo:
⚙️ FÓRMULA — CAC Blended = (CAC directos + CAC alianzas + Comisiones + Publicidad + Descuento referidos) / Total nuevos.
Ahora incluye B12 (costo adquisición alianzas).</t>
      </text>
    </comment>
    <comment ref="M30" authorId="0" shapeId="0">
      <text>
        <t>Luis Alberto Del Castillo:
⚙️ FÓRMULA — CAC Blended = (CAC directos + CAC alianzas + Comisiones + Publicidad + Descuento referidos) / Total nuevos.
Ahora incluye B12 (costo adquisición alianzas).</t>
      </text>
    </comment>
    <comment ref="N30" authorId="0" shapeId="0">
      <text>
        <t>Luis Alberto Del Castillo:
⚙️ FÓRMULA — CAC Blended = (CAC directos + CAC alianzas + Comisiones + Publicidad + Descuento referidos) / Total nuevos.
Ahora incluye B12 (costo adquisición alianzas).</t>
      </text>
    </comment>
    <comment ref="O30" authorId="0" shapeId="0">
      <text>
        <t>Luis Alberto Del Castillo:
⚙️ FÓRMULA — CAC Blended = (CAC directos + CAC alianzas + Comisiones + Publicidad + Descuento referidos) / Total nuevos.
Ahora incluye B12 (costo adquisición alianzas).</t>
      </text>
    </comment>
    <comment ref="P30" authorId="0" shapeId="0">
      <text>
        <t>Luis Alberto Del Castillo:
⚙️ FÓRMULA — CAC Blended = (CAC directos + CAC alianzas + Comisiones + Publicidad + Descuento referidos) / Total nuevos.
Ahora incluye B12 (costo adquisición alianzas).</t>
      </text>
    </comment>
    <comment ref="Q30" authorId="0" shapeId="0">
      <text>
        <t>Luis Alberto Del Castillo:
⚙️ FÓRMULA — CAC Blended = (CAC directos + CAC alianzas + Comisiones + Publicidad + Descuento referidos) / Total nuevos.
Ahora incluye B12 (costo adquisición alianzas).</t>
      </text>
    </comment>
    <comment ref="R30" authorId="0" shapeId="0">
      <text>
        <t>Luis Alberto Del Castillo:
⚙️ FÓRMULA — CAC Blended = (CAC directos + CAC alianzas + Comisiones + Publicidad + Descuento referidos) / Total nuevos.
Ahora incluye B12 (costo adquisición alianzas).</t>
      </text>
    </comment>
    <comment ref="S30" authorId="0" shapeId="0">
      <text>
        <t>Luis Alberto Del Castillo:
⚙️ FÓRMULA — CAC Blended = (CAC directos + CAC alianzas + Comisiones + Publicidad + Descuento referidos) / Total nuevos.
Ahora incluye B12 (costo adquisición alianzas).</t>
      </text>
    </comment>
    <comment ref="T30" authorId="0" shapeId="0">
      <text>
        <t>Luis Alberto Del Castillo:
⚙️ FÓRMULA — CAC Blended = (CAC directos + CAC alianzas + Comisiones + Publicidad + Descuento referidos) / Total nuevos.
Ahora incluye B12 (costo adquisición alianzas).</t>
      </text>
    </comment>
    <comment ref="U30" authorId="0" shapeId="0">
      <text>
        <t>Luis Alberto Del Castillo:
⚙️ FÓRMULA — CAC Blended = (CAC directos + CAC alianzas + Comisiones + Publicidad + Descuento referidos) / Total nuevos.
Ahora incluye B12 (costo adquisición alianzas).</t>
      </text>
    </comment>
    <comment ref="V30" authorId="0" shapeId="0">
      <text>
        <t>Luis Alberto Del Castillo:
⚙️ FÓRMULA — CAC Blended = (CAC directos + CAC alianzas + Comisiones + Publicidad + Descuento referidos) / Total nuevos.
Ahora incluye B12 (costo adquisición alianzas).</t>
      </text>
    </comment>
    <comment ref="W30" authorId="0" shapeId="0">
      <text>
        <t>Luis Alberto Del Castillo:
⚙️ FÓRMULA — CAC Blended = (CAC directos + CAC alianzas + Comisiones + Publicidad + Descuento referidos) / Total nuevos.
Ahora incluye B12 (costo adquisición alianzas).</t>
      </text>
    </comment>
    <comment ref="X30" authorId="0" shapeId="0">
      <text>
        <t>Luis Alberto Del Castillo:
⚙️ FÓRMULA — CAC Blended = (CAC directos + CAC alianzas + Comisiones + Publicidad + Descuento referidos) / Total nuevos.
Ahora incluye B12 (costo adquisición alianzas).</t>
      </text>
    </comment>
    <comment ref="Y30" authorId="0" shapeId="0">
      <text>
        <t>Luis Alberto Del Castillo:
⚙️ FÓRMULA — CAC Blended = (CAC directos + CAC alianzas + Comisiones + Publicidad + Descuento referidos) / Total nuevos.
Ahora incluye B12 (costo adquisición alianzas).</t>
      </text>
    </comment>
    <comment ref="Z30" authorId="0" shapeId="0">
      <text>
        <t>Luis Alberto Del Castillo:
⚙️ FÓRMULA — CAC Blended = (CAC directos + CAC alianzas + Comisiones + Publicidad + Descuento referidos) / Total nuevos.
Ahora incluye B12 (costo adquisición alianzas).</t>
      </text>
    </comment>
    <comment ref="AA30" authorId="0" shapeId="0">
      <text>
        <t>Luis Alberto Del Castillo:
⚙️ FÓRMULA — CAC Blended = (CAC directos + CAC alianzas + Comisiones + Publicidad + Descuento referidos) / Total nuevos.
Ahora incluye B12 (costo adquisición alianzas).</t>
      </text>
    </comment>
    <comment ref="AB30" authorId="0" shapeId="0">
      <text>
        <t>Luis Alberto Del Castillo:
⚙️ FÓRMULA — CAC Blended = (CAC directos + CAC alianzas + Comisiones + Publicidad + Descuento referidos) / Total nuevos.
Ahora incluye B12 (costo adquisición alianzas).</t>
      </text>
    </comment>
    <comment ref="AC30" authorId="0" shapeId="0">
      <text>
        <t>Luis Alberto Del Castillo:
⚙️ FÓRMULA — CAC Blended = (CAC directos + CAC alianzas + Comisiones + Publicidad + Descuento referidos) / Total nuevos.
Ahora incluye B12 (costo adquisición alianzas).</t>
      </text>
    </comment>
    <comment ref="AD30" authorId="0" shapeId="0">
      <text>
        <t>Luis Alberto Del Castillo:
⚙️ FÓRMULA — CAC Blended = (CAC directos + CAC alianzas + Comisiones + Publicidad + Descuento referidos) / Total nuevos.
Ahora incluye B12 (costo adquisición alianzas).</t>
      </text>
    </comment>
    <comment ref="AE30" authorId="0" shapeId="0">
      <text>
        <t>Luis Alberto Del Castillo:
⚙️ FÓRMULA — CAC Blended = (CAC directos + CAC alianzas + Comisiones + Publicidad + Descuento referidos) / Total nuevos.
Ahora incluye B12 (costo adquisición alianzas).</t>
      </text>
    </comment>
    <comment ref="AF30" authorId="0" shapeId="0">
      <text>
        <t>Luis Alberto Del Castillo:
⚙️ FÓRMULA — CAC Blended = (CAC directos + CAC alianzas + Comisiones + Publicidad + Descuento referidos) / Total nuevos.
Ahora incluye B12 (costo adquisición alianzas).</t>
      </text>
    </comment>
    <comment ref="AG30" authorId="0" shapeId="0">
      <text>
        <t>Luis Alberto Del Castillo:
⚙️ FÓRMULA — CAC Blended = (CAC directos + CAC alianzas + Comisiones + Publicidad + Descuento referidos) / Total nuevos.
Ahora incluye B12 (costo adquisición alianzas).</t>
      </text>
    </comment>
    <comment ref="AH30" authorId="0" shapeId="0">
      <text>
        <t>Luis Alberto Del Castillo:
⚙️ FÓRMULA — CAC Blended = (CAC directos + CAC alianzas + Comisiones + Publicidad + Descuento referidos) / Total nuevos.
Ahora incluye B12 (costo adquisición alianzas).</t>
      </text>
    </comment>
    <comment ref="AI30" authorId="0" shapeId="0">
      <text>
        <t>Luis Alberto Del Castillo:
⚙️ FÓRMULA — CAC Blended = (CAC directos + CAC alianzas + Comisiones + Publicidad + Descuento referidos) / Total nuevos.
Ahora incluye B12 (costo adquisición alianzas).</t>
      </text>
    </comment>
    <comment ref="AJ30" authorId="0" shapeId="0">
      <text>
        <t>Luis Alberto Del Castillo:
⚙️ FÓRMULA — CAC Blended = (CAC directos + CAC alianzas + Comisiones + Publicidad + Descuento referidos) / Total nuevos.
Ahora incluye B12 (costo adquisición alianzas).</t>
      </text>
    </comment>
    <comment ref="AK30" authorId="0" shapeId="0">
      <text>
        <t>Luis Alberto Del Castillo:
⚙️ FÓRMULA — CAC Blended = (CAC directos + CAC alianzas + Comisiones + Publicidad + Descuento referidos) / Total nuevos.
Ahora incluye B12 (costo adquisición alianzas).</t>
      </text>
    </comment>
    <comment ref="AL30" authorId="0" shapeId="0">
      <text>
        <t>Luis Alberto Del Castillo:
⚙️ FÓRMULA — CAC Blended = (CAC directos + CAC alianzas + Comisiones + Publicidad + Descuento referidos) / Total nuevos.
Ahora incluye B12 (costo adquisición alianzas).</t>
      </text>
    </comment>
    <comment ref="AM30" authorId="0" shapeId="0">
      <text>
        <t>Luis Alberto Del Castillo:
⚙️ FÓRMULA — CAC Blended = (CAC directos + CAC alianzas + Comisiones + Publicidad + Descuento referidos) / Total nuevos.
Ahora incluye B12 (costo adquisición alianzas).</t>
      </text>
    </comment>
    <comment ref="AN30" authorId="0" shapeId="0">
      <text>
        <t>Luis Alberto Del Castillo:
⚙️ FÓRMULA — CAC Blended = (CAC directos + CAC alianzas + Comisiones + Publicidad + Descuento referidos) / Total nuevos.
Ahora incluye B12 (costo adquisición alianzas).</t>
      </text>
    </comment>
    <comment ref="AO30" authorId="0" shapeId="0">
      <text>
        <t>Luis Alberto Del Castillo:
⚙️ FÓRMULA — CAC Blended = (CAC directos + CAC alianzas + Comisiones + Publicidad + Descuento referidos) / Total nuevos.
Ahora incluye B12 (costo adquisición alianzas).</t>
      </text>
    </comment>
    <comment ref="AP30" authorId="0" shapeId="0">
      <text>
        <t>Luis Alberto Del Castillo:
⚙️ FÓRMULA — CAC Blended = (CAC directos + CAC alianzas + Comisiones + Publicidad + Descuento referidos) / Total nuevos.
Ahora incluye B12 (costo adquisición alianzas).</t>
      </text>
    </comment>
    <comment ref="AQ30" authorId="0" shapeId="0">
      <text>
        <t>Luis Alberto Del Castillo:
⚙️ FÓRMULA — CAC Blended = (CAC directos + CAC alianzas + Comisiones + Publicidad + Descuento referidos) / Total nuevos.
Ahora incluye B12 (costo adquisición alianzas).</t>
      </text>
    </comment>
    <comment ref="AR30" authorId="0" shapeId="0">
      <text>
        <t>Luis Alberto Del Castillo:
⚙️ FÓRMULA — CAC Blended = (CAC directos + CAC alianzas + Comisiones + Publicidad + Descuento referidos) / Total nuevos.
Ahora incluye B12 (costo adquisición alianzas).</t>
      </text>
    </comment>
    <comment ref="AS30" authorId="0" shapeId="0">
      <text>
        <t>Luis Alberto Del Castillo:
⚙️ FÓRMULA — CAC Blended = (CAC directos + CAC alianzas + Comisiones + Publicidad + Descuento referidos) / Total nuevos.
Ahora incluye B12 (costo adquisición alianzas).</t>
      </text>
    </comment>
    <comment ref="AT30" authorId="0" shapeId="0">
      <text>
        <t>Luis Alberto Del Castillo:
⚙️ FÓRMULA — CAC Blended = (CAC directos + CAC alianzas + Comisiones + Publicidad + Descuento referidos) / Total nuevos.
Ahora incluye B12 (costo adquisición alianzas).</t>
      </text>
    </comment>
    <comment ref="AU30" authorId="0" shapeId="0">
      <text>
        <t>Luis Alberto Del Castillo:
⚙️ FÓRMULA — CAC Blended = (CAC directos + CAC alianzas + Comisiones + Publicidad + Descuento referidos) / Total nuevos.
Ahora incluye B12 (costo adquisición alianzas).</t>
      </text>
    </comment>
    <comment ref="AV30" authorId="0" shapeId="0">
      <text>
        <t>Luis Alberto Del Castillo:
⚙️ FÓRMULA — CAC Blended = (CAC directos + CAC alianzas + Comisiones + Publicidad + Descuento referidos) / Total nuevos.
Ahora incluye B12 (costo adquisición alianzas).</t>
      </text>
    </comment>
    <comment ref="AW30" authorId="0" shapeId="0">
      <text>
        <t>Luis Alberto Del Castillo:
⚙️ FÓRMULA — CAC Blended = (CAC directos + CAC alianzas + Comisiones + Publicidad + Descuento referidos) / Total nuevos.
Ahora incluye B12 (costo adquisición alianzas).</t>
      </text>
    </comment>
    <comment ref="AX30" authorId="0" shapeId="0">
      <text>
        <t>Luis Alberto Del Castillo:
⚙️ FÓRMULA — CAC Blended = (CAC directos + CAC alianzas + Comisiones + Publicidad + Descuento referidos) / Total nuevos.
Ahora incluye B12 (costo adquisición alianzas).</t>
      </text>
    </comment>
    <comment ref="AY30" authorId="0" shapeId="0">
      <text>
        <t>Luis Alberto Del Castillo:
⚙️ FÓRMULA — CAC Blended = (CAC directos + CAC alianzas + Comisiones + Publicidad + Descuento referidos) / Total nuevos.
Ahora incluye B12 (costo adquisición alianzas).</t>
      </text>
    </comment>
    <comment ref="AZ30" authorId="0" shapeId="0">
      <text>
        <t>Luis Alberto Del Castillo:
⚙️ FÓRMULA — CAC Blended = (CAC directos + CAC alianzas + Comisiones + Publicidad + Descuento referidos) / Total nuevos.
Ahora incluye B12 (costo adquisición alianzas).</t>
      </text>
    </comment>
    <comment ref="BA30" authorId="0" shapeId="0">
      <text>
        <t>Luis Alberto Del Castillo:
⚙️ FÓRMULA — CAC Blended = (CAC directos + CAC alianzas + Comisiones + Publicidad + Descuento referidos) / Total nuevos.
Ahora incluye B12 (costo adquisición alianzas).</t>
      </text>
    </comment>
    <comment ref="BB30" authorId="0" shapeId="0">
      <text>
        <t>Luis Alberto Del Castillo:
⚙️ FÓRMULA — CAC Blended = (CAC directos + CAC alianzas + Comisiones + Publicidad + Descuento referidos) / Total nuevos.
Ahora incluye B12 (costo adquisición alianzas).</t>
      </text>
    </comment>
    <comment ref="BC30" authorId="0" shapeId="0">
      <text>
        <t>Luis Alberto Del Castillo:
⚙️ FÓRMULA — CAC Blended = (CAC directos + CAC alianzas + Comisiones + Publicidad + Descuento referidos) / Total nuevos.
Ahora incluye B12 (costo adquisición alianzas).</t>
      </text>
    </comment>
    <comment ref="BD30" authorId="0" shapeId="0">
      <text>
        <t>Luis Alberto Del Castillo:
⚙️ FÓRMULA — CAC Blended = (CAC directos + CAC alianzas + Comisiones + Publicidad + Descuento referidos) / Total nuevos.
Ahora incluye B12 (costo adquisición alianzas).</t>
      </text>
    </comment>
    <comment ref="BE30" authorId="0" shapeId="0">
      <text>
        <t>Luis Alberto Del Castillo:
⚙️ FÓRMULA — CAC Blended = (CAC directos + CAC alianzas + Comisiones + Publicidad + Descuento referidos) / Total nuevos.
Ahora incluye B12 (costo adquisición alianzas).</t>
      </text>
    </comment>
    <comment ref="BF30" authorId="0" shapeId="0">
      <text>
        <t>Luis Alberto Del Castillo:
⚙️ FÓRMULA — CAC Blended = (CAC directos + CAC alianzas + Comisiones + Publicidad + Descuento referidos) / Total nuevos.
Ahora incluye B12 (costo adquisición alianzas).</t>
      </text>
    </comment>
    <comment ref="BG30" authorId="0" shapeId="0">
      <text>
        <t>Luis Alberto Del Castillo:
⚙️ FÓRMULA — CAC Blended = (CAC directos + CAC alianzas + Comisiones + Publicidad + Descuento referidos) / Total nuevos.
Ahora incluye B12 (costo adquisición alianzas).</t>
      </text>
    </comment>
    <comment ref="BH30" authorId="0" shapeId="0">
      <text>
        <t>Luis Alberto Del Castillo:
⚙️ FÓRMULA — CAC Blended = (CAC directos + CAC alianzas + Comisiones + Publicidad + Descuento referidos) / Total nuevos.
Ahora incluye B12 (costo adquisición alianzas).</t>
      </text>
    </comment>
    <comment ref="BI30" authorId="0" shapeId="0">
      <text>
        <t>Luis Alberto Del Castillo:
⚙️ FÓRMULA — CAC Blended = (CAC directos + CAC alianzas + Comisiones + Publicidad + Descuento referidos) / Total nuevos.
Ahora incluye B12 (costo adquisición alianzas).</t>
      </text>
    </comment>
    <comment ref="B34" authorId="0" shapeId="0">
      <text>
        <t>Luis Alberto Del Castillo:
⚙️ FÓRMULA — TOTAL CAC = CAC directos + CAC alianzas + Comisiones + Publicidad
Ahora incluye B12 (costo adquisición alianzas).</t>
      </text>
    </comment>
    <comment ref="C34" authorId="0" shapeId="0">
      <text>
        <t>Luis Alberto Del Castillo:
⚙️ FÓRMULA — TOTAL CAC = CAC directos + CAC alianzas + Comisiones + Publicidad
Ahora incluye B12 (costo adquisición alianzas).</t>
      </text>
    </comment>
    <comment ref="D34" authorId="0" shapeId="0">
      <text>
        <t>Luis Alberto Del Castillo:
⚙️ FÓRMULA — TOTAL CAC = CAC directos + CAC alianzas + Comisiones + Publicidad
Ahora incluye B12 (costo adquisición alianzas).</t>
      </text>
    </comment>
    <comment ref="E34" authorId="0" shapeId="0">
      <text>
        <t>Luis Alberto Del Castillo:
⚙️ FÓRMULA — TOTAL CAC = CAC directos + CAC alianzas + Comisiones + Publicidad
Ahora incluye B12 (costo adquisición alianzas).</t>
      </text>
    </comment>
    <comment ref="F34" authorId="0" shapeId="0">
      <text>
        <t>Luis Alberto Del Castillo:
⚙️ FÓRMULA — TOTAL CAC = CAC directos + CAC alianzas + Comisiones + Publicidad
Ahora incluye B12 (costo adquisición alianzas).</t>
      </text>
    </comment>
    <comment ref="G34" authorId="0" shapeId="0">
      <text>
        <t>Luis Alberto Del Castillo:
⚙️ FÓRMULA — TOTAL CAC = CAC directos + CAC alianzas + Comisiones + Publicidad
Ahora incluye B12 (costo adquisición alianzas).</t>
      </text>
    </comment>
    <comment ref="H34" authorId="0" shapeId="0">
      <text>
        <t>Luis Alberto Del Castillo:
⚙️ FÓRMULA — TOTAL CAC = CAC directos + CAC alianzas + Comisiones + Publicidad
Ahora incluye B12 (costo adquisición alianzas).</t>
      </text>
    </comment>
    <comment ref="I34" authorId="0" shapeId="0">
      <text>
        <t>Luis Alberto Del Castillo:
⚙️ FÓRMULA — TOTAL CAC = CAC directos + CAC alianzas + Comisiones + Publicidad
Ahora incluye B12 (costo adquisición alianzas).</t>
      </text>
    </comment>
    <comment ref="J34" authorId="0" shapeId="0">
      <text>
        <t>Luis Alberto Del Castillo:
⚙️ FÓRMULA — TOTAL CAC = CAC directos + CAC alianzas + Comisiones + Publicidad
Ahora incluye B12 (costo adquisición alianzas).</t>
      </text>
    </comment>
    <comment ref="K34" authorId="0" shapeId="0">
      <text>
        <t>Luis Alberto Del Castillo:
⚙️ FÓRMULA — TOTAL CAC = CAC directos + CAC alianzas + Comisiones + Publicidad
Ahora incluye B12 (costo adquisición alianzas).</t>
      </text>
    </comment>
    <comment ref="L34" authorId="0" shapeId="0">
      <text>
        <t>Luis Alberto Del Castillo:
⚙️ FÓRMULA — TOTAL CAC = CAC directos + CAC alianzas + Comisiones + Publicidad
Ahora incluye B12 (costo adquisición alianzas).</t>
      </text>
    </comment>
    <comment ref="M34" authorId="0" shapeId="0">
      <text>
        <t>Luis Alberto Del Castillo:
⚙️ FÓRMULA — TOTAL CAC = CAC directos + CAC alianzas + Comisiones + Publicidad
Ahora incluye B12 (costo adquisición alianzas).</t>
      </text>
    </comment>
    <comment ref="N34" authorId="0" shapeId="0">
      <text>
        <t>Luis Alberto Del Castillo:
⚙️ FÓRMULA — TOTAL CAC = CAC directos + CAC alianzas + Comisiones + Publicidad
Ahora incluye B12 (costo adquisición alianzas).</t>
      </text>
    </comment>
    <comment ref="O34" authorId="0" shapeId="0">
      <text>
        <t>Luis Alberto Del Castillo:
⚙️ FÓRMULA — TOTAL CAC = CAC directos + CAC alianzas + Comisiones + Publicidad
Ahora incluye B12 (costo adquisición alianzas).</t>
      </text>
    </comment>
    <comment ref="P34" authorId="0" shapeId="0">
      <text>
        <t>Luis Alberto Del Castillo:
⚙️ FÓRMULA — TOTAL CAC = CAC directos + CAC alianzas + Comisiones + Publicidad
Ahora incluye B12 (costo adquisición alianzas).</t>
      </text>
    </comment>
    <comment ref="Q34" authorId="0" shapeId="0">
      <text>
        <t>Luis Alberto Del Castillo:
⚙️ FÓRMULA — TOTAL CAC = CAC directos + CAC alianzas + Comisiones + Publicidad
Ahora incluye B12 (costo adquisición alianzas).</t>
      </text>
    </comment>
    <comment ref="R34" authorId="0" shapeId="0">
      <text>
        <t>Luis Alberto Del Castillo:
⚙️ FÓRMULA — TOTAL CAC = CAC directos + CAC alianzas + Comisiones + Publicidad
Ahora incluye B12 (costo adquisición alianzas).</t>
      </text>
    </comment>
    <comment ref="S34" authorId="0" shapeId="0">
      <text>
        <t>Luis Alberto Del Castillo:
⚙️ FÓRMULA — TOTAL CAC = CAC directos + CAC alianzas + Comisiones + Publicidad
Ahora incluye B12 (costo adquisición alianzas).</t>
      </text>
    </comment>
    <comment ref="T34" authorId="0" shapeId="0">
      <text>
        <t>Luis Alberto Del Castillo:
⚙️ FÓRMULA — TOTAL CAC = CAC directos + CAC alianzas + Comisiones + Publicidad
Ahora incluye B12 (costo adquisición alianzas).</t>
      </text>
    </comment>
    <comment ref="U34" authorId="0" shapeId="0">
      <text>
        <t>Luis Alberto Del Castillo:
⚙️ FÓRMULA — TOTAL CAC = CAC directos + CAC alianzas + Comisiones + Publicidad
Ahora incluye B12 (costo adquisición alianzas).</t>
      </text>
    </comment>
    <comment ref="V34" authorId="0" shapeId="0">
      <text>
        <t>Luis Alberto Del Castillo:
⚙️ FÓRMULA — TOTAL CAC = CAC directos + CAC alianzas + Comisiones + Publicidad
Ahora incluye B12 (costo adquisición alianzas).</t>
      </text>
    </comment>
    <comment ref="W34" authorId="0" shapeId="0">
      <text>
        <t>Luis Alberto Del Castillo:
⚙️ FÓRMULA — TOTAL CAC = CAC directos + CAC alianzas + Comisiones + Publicidad
Ahora incluye B12 (costo adquisición alianzas).</t>
      </text>
    </comment>
    <comment ref="X34" authorId="0" shapeId="0">
      <text>
        <t>Luis Alberto Del Castillo:
⚙️ FÓRMULA — TOTAL CAC = CAC directos + CAC alianzas + Comisiones + Publicidad
Ahora incluye B12 (costo adquisición alianzas).</t>
      </text>
    </comment>
    <comment ref="Y34" authorId="0" shapeId="0">
      <text>
        <t>Luis Alberto Del Castillo:
⚙️ FÓRMULA — TOTAL CAC = CAC directos + CAC alianzas + Comisiones + Publicidad
Ahora incluye B12 (costo adquisición alianzas).</t>
      </text>
    </comment>
    <comment ref="Z34" authorId="0" shapeId="0">
      <text>
        <t>Luis Alberto Del Castillo:
⚙️ FÓRMULA — TOTAL CAC = CAC directos + CAC alianzas + Comisiones + Publicidad
Ahora incluye B12 (costo adquisición alianzas).</t>
      </text>
    </comment>
    <comment ref="AA34" authorId="0" shapeId="0">
      <text>
        <t>Luis Alberto Del Castillo:
⚙️ FÓRMULA — TOTAL CAC = CAC directos + CAC alianzas + Comisiones + Publicidad
Ahora incluye B12 (costo adquisición alianzas).</t>
      </text>
    </comment>
    <comment ref="AB34" authorId="0" shapeId="0">
      <text>
        <t>Luis Alberto Del Castillo:
⚙️ FÓRMULA — TOTAL CAC = CAC directos + CAC alianzas + Comisiones + Publicidad
Ahora incluye B12 (costo adquisición alianzas).</t>
      </text>
    </comment>
    <comment ref="AC34" authorId="0" shapeId="0">
      <text>
        <t>Luis Alberto Del Castillo:
⚙️ FÓRMULA — TOTAL CAC = CAC directos + CAC alianzas + Comisiones + Publicidad
Ahora incluye B12 (costo adquisición alianzas).</t>
      </text>
    </comment>
    <comment ref="AD34" authorId="0" shapeId="0">
      <text>
        <t>Luis Alberto Del Castillo:
⚙️ FÓRMULA — TOTAL CAC = CAC directos + CAC alianzas + Comisiones + Publicidad
Ahora incluye B12 (costo adquisición alianzas).</t>
      </text>
    </comment>
    <comment ref="AE34" authorId="0" shapeId="0">
      <text>
        <t>Luis Alberto Del Castillo:
⚙️ FÓRMULA — TOTAL CAC = CAC directos + CAC alianzas + Comisiones + Publicidad
Ahora incluye B12 (costo adquisición alianzas).</t>
      </text>
    </comment>
    <comment ref="AF34" authorId="0" shapeId="0">
      <text>
        <t>Luis Alberto Del Castillo:
⚙️ FÓRMULA — TOTAL CAC = CAC directos + CAC alianzas + Comisiones + Publicidad
Ahora incluye B12 (costo adquisición alianzas).</t>
      </text>
    </comment>
    <comment ref="AG34" authorId="0" shapeId="0">
      <text>
        <t>Luis Alberto Del Castillo:
⚙️ FÓRMULA — TOTAL CAC = CAC directos + CAC alianzas + Comisiones + Publicidad
Ahora incluye B12 (costo adquisición alianzas).</t>
      </text>
    </comment>
    <comment ref="AH34" authorId="0" shapeId="0">
      <text>
        <t>Luis Alberto Del Castillo:
⚙️ FÓRMULA — TOTAL CAC = CAC directos + CAC alianzas + Comisiones + Publicidad
Ahora incluye B12 (costo adquisición alianzas).</t>
      </text>
    </comment>
    <comment ref="AI34" authorId="0" shapeId="0">
      <text>
        <t>Luis Alberto Del Castillo:
⚙️ FÓRMULA — TOTAL CAC = CAC directos + CAC alianzas + Comisiones + Publicidad
Ahora incluye B12 (costo adquisición alianzas).</t>
      </text>
    </comment>
    <comment ref="AJ34" authorId="0" shapeId="0">
      <text>
        <t>Luis Alberto Del Castillo:
⚙️ FÓRMULA — TOTAL CAC = CAC directos + CAC alianzas + Comisiones + Publicidad
Ahora incluye B12 (costo adquisición alianzas).</t>
      </text>
    </comment>
    <comment ref="AK34" authorId="0" shapeId="0">
      <text>
        <t>Luis Alberto Del Castillo:
⚙️ FÓRMULA — TOTAL CAC = CAC directos + CAC alianzas + Comisiones + Publicidad
Ahora incluye B12 (costo adquisición alianzas).</t>
      </text>
    </comment>
    <comment ref="AL34" authorId="0" shapeId="0">
      <text>
        <t>Luis Alberto Del Castillo:
⚙️ FÓRMULA — TOTAL CAC = CAC directos + CAC alianzas + Comisiones + Publicidad
Ahora incluye B12 (costo adquisición alianzas).</t>
      </text>
    </comment>
    <comment ref="AM34" authorId="0" shapeId="0">
      <text>
        <t>Luis Alberto Del Castillo:
⚙️ FÓRMULA — TOTAL CAC = CAC directos + CAC alianzas + Comisiones + Publicidad
Ahora incluye B12 (costo adquisición alianzas).</t>
      </text>
    </comment>
    <comment ref="AN34" authorId="0" shapeId="0">
      <text>
        <t>Luis Alberto Del Castillo:
⚙️ FÓRMULA — TOTAL CAC = CAC directos + CAC alianzas + Comisiones + Publicidad
Ahora incluye B12 (costo adquisición alianzas).</t>
      </text>
    </comment>
    <comment ref="AO34" authorId="0" shapeId="0">
      <text>
        <t>Luis Alberto Del Castillo:
⚙️ FÓRMULA — TOTAL CAC = CAC directos + CAC alianzas + Comisiones + Publicidad
Ahora incluye B12 (costo adquisición alianzas).</t>
      </text>
    </comment>
    <comment ref="AP34" authorId="0" shapeId="0">
      <text>
        <t>Luis Alberto Del Castillo:
⚙️ FÓRMULA — TOTAL CAC = CAC directos + CAC alianzas + Comisiones + Publicidad
Ahora incluye B12 (costo adquisición alianzas).</t>
      </text>
    </comment>
    <comment ref="AQ34" authorId="0" shapeId="0">
      <text>
        <t>Luis Alberto Del Castillo:
⚙️ FÓRMULA — TOTAL CAC = CAC directos + CAC alianzas + Comisiones + Publicidad
Ahora incluye B12 (costo adquisición alianzas).</t>
      </text>
    </comment>
    <comment ref="AR34" authorId="0" shapeId="0">
      <text>
        <t>Luis Alberto Del Castillo:
⚙️ FÓRMULA — TOTAL CAC = CAC directos + CAC alianzas + Comisiones + Publicidad
Ahora incluye B12 (costo adquisición alianzas).</t>
      </text>
    </comment>
    <comment ref="AS34" authorId="0" shapeId="0">
      <text>
        <t>Luis Alberto Del Castillo:
⚙️ FÓRMULA — TOTAL CAC = CAC directos + CAC alianzas + Comisiones + Publicidad
Ahora incluye B12 (costo adquisición alianzas).</t>
      </text>
    </comment>
    <comment ref="AT34" authorId="0" shapeId="0">
      <text>
        <t>Luis Alberto Del Castillo:
⚙️ FÓRMULA — TOTAL CAC = CAC directos + CAC alianzas + Comisiones + Publicidad
Ahora incluye B12 (costo adquisición alianzas).</t>
      </text>
    </comment>
    <comment ref="AU34" authorId="0" shapeId="0">
      <text>
        <t>Luis Alberto Del Castillo:
⚙️ FÓRMULA — TOTAL CAC = CAC directos + CAC alianzas + Comisiones + Publicidad
Ahora incluye B12 (costo adquisición alianzas).</t>
      </text>
    </comment>
    <comment ref="AV34" authorId="0" shapeId="0">
      <text>
        <t>Luis Alberto Del Castillo:
⚙️ FÓRMULA — TOTAL CAC = CAC directos + CAC alianzas + Comisiones + Publicidad
Ahora incluye B12 (costo adquisición alianzas).</t>
      </text>
    </comment>
    <comment ref="AW34" authorId="0" shapeId="0">
      <text>
        <t>Luis Alberto Del Castillo:
⚙️ FÓRMULA — TOTAL CAC = CAC directos + CAC alianzas + Comisiones + Publicidad
Ahora incluye B12 (costo adquisición alianzas).</t>
      </text>
    </comment>
    <comment ref="AX34" authorId="0" shapeId="0">
      <text>
        <t>Luis Alberto Del Castillo:
⚙️ FÓRMULA — TOTAL CAC = CAC directos + CAC alianzas + Comisiones + Publicidad
Ahora incluye B12 (costo adquisición alianzas).</t>
      </text>
    </comment>
    <comment ref="AY34" authorId="0" shapeId="0">
      <text>
        <t>Luis Alberto Del Castillo:
⚙️ FÓRMULA — TOTAL CAC = CAC directos + CAC alianzas + Comisiones + Publicidad
Ahora incluye B12 (costo adquisición alianzas).</t>
      </text>
    </comment>
    <comment ref="AZ34" authorId="0" shapeId="0">
      <text>
        <t>Luis Alberto Del Castillo:
⚙️ FÓRMULA — TOTAL CAC = CAC directos + CAC alianzas + Comisiones + Publicidad
Ahora incluye B12 (costo adquisición alianzas).</t>
      </text>
    </comment>
    <comment ref="BA34" authorId="0" shapeId="0">
      <text>
        <t>Luis Alberto Del Castillo:
⚙️ FÓRMULA — TOTAL CAC = CAC directos + CAC alianzas + Comisiones + Publicidad
Ahora incluye B12 (costo adquisición alianzas).</t>
      </text>
    </comment>
    <comment ref="BB34" authorId="0" shapeId="0">
      <text>
        <t>Luis Alberto Del Castillo:
⚙️ FÓRMULA — TOTAL CAC = CAC directos + CAC alianzas + Comisiones + Publicidad
Ahora incluye B12 (costo adquisición alianzas).</t>
      </text>
    </comment>
    <comment ref="BC34" authorId="0" shapeId="0">
      <text>
        <t>Luis Alberto Del Castillo:
⚙️ FÓRMULA — TOTAL CAC = CAC directos + CAC alianzas + Comisiones + Publicidad
Ahora incluye B12 (costo adquisición alianzas).</t>
      </text>
    </comment>
    <comment ref="BD34" authorId="0" shapeId="0">
      <text>
        <t>Luis Alberto Del Castillo:
⚙️ FÓRMULA — TOTAL CAC = CAC directos + CAC alianzas + Comisiones + Publicidad
Ahora incluye B12 (costo adquisición alianzas).</t>
      </text>
    </comment>
    <comment ref="BE34" authorId="0" shapeId="0">
      <text>
        <t>Luis Alberto Del Castillo:
⚙️ FÓRMULA — TOTAL CAC = CAC directos + CAC alianzas + Comisiones + Publicidad
Ahora incluye B12 (costo adquisición alianzas).</t>
      </text>
    </comment>
    <comment ref="BF34" authorId="0" shapeId="0">
      <text>
        <t>Luis Alberto Del Castillo:
⚙️ FÓRMULA — TOTAL CAC = CAC directos + CAC alianzas + Comisiones + Publicidad
Ahora incluye B12 (costo adquisición alianzas).</t>
      </text>
    </comment>
    <comment ref="BG34" authorId="0" shapeId="0">
      <text>
        <t>Luis Alberto Del Castillo:
⚙️ FÓRMULA — TOTAL CAC = CAC directos + CAC alianzas + Comisiones + Publicidad
Ahora incluye B12 (costo adquisición alianzas).</t>
      </text>
    </comment>
    <comment ref="BH34" authorId="0" shapeId="0">
      <text>
        <t>Luis Alberto Del Castillo:
⚙️ FÓRMULA — TOTAL CAC = CAC directos + CAC alianzas + Comisiones + Publicidad
Ahora incluye B12 (costo adquisición alianzas).</t>
      </text>
    </comment>
    <comment ref="BI34" authorId="0" shapeId="0">
      <text>
        <t>Luis Alberto Del Castillo:
⚙️ FÓRMULA — TOTAL CAC = CAC directos + CAC alianzas + Comisiones + Publicidad
Ahora incluye B12 (costo adquisición alianzas).</t>
      </text>
    </comment>
  </commentList>
</comments>
</file>

<file path=xl/comments/comment6.xml><?xml version="1.0" encoding="utf-8"?>
<comments xmlns="http://schemas.openxmlformats.org/spreadsheetml/2006/main">
  <authors>
    <author>Luis Alberto Del Castillo</author>
    <author>tc={26BB6265-230B-5240-B0A9-ECC563162638}</author>
  </authors>
  <commentList>
    <comment ref="C6" authorId="0" shapeId="0">
      <text>
        <t>Luis Alberto Del Castillo:
⚙️ FÓRMULA — Vinculado a Palancas!B10 (pipeline Coca-Cola Colombia)</t>
      </text>
    </comment>
    <comment ref="C7" authorId="0" shapeId="0">
      <text>
        <t>Luis Alberto Del Castillo:
⚙️ FÓRMULA — Vinculado a Palancas!F10 (pipeline ACODRES Colombia)</t>
      </text>
    </comment>
    <comment ref="C8" authorId="0" shapeId="0">
      <text>
        <t>Luis Alberto Del Castillo:
⚙️ FÓRMULA — Vinculado a Palancas!B26 (pipeline CC Florida USA)</t>
      </text>
    </comment>
    <comment ref="C9" authorId="0" shapeId="0">
      <text>
        <t>Luis Alberto Del Castillo:
⚙️ FÓRMULA — Vinculado a Palancas!B18</t>
      </text>
    </comment>
    <comment ref="C10" authorId="0" shapeId="0">
      <text>
        <t>Luis Alberto Del Castillo:
⚙️ FÓRMULA — Vinculado a Palancas!F18</t>
      </text>
    </comment>
    <comment ref="C14"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 FÓRMULA — Vinculado a Supuestos Generales!B19 (Meseros Ponderados).
Ahora es promedio ponderado por segmento: Peq(5)×mix + Med(10)×mix + Gra(25)×mix.
Varía con escenario vía mix: Pes≈7.25, Base≈9.75, Opt≈12.75</t>
      </text>
    </comment>
    <comment ref="C15" authorId="0" shapeId="0">
      <text>
        <t>⚙️ FÓRMULA — Vinculado a Supuestos Generales!B20.
Cambia con escenario: Pes=75%, Base=85%, Opt=95%</t>
      </text>
    </comment>
    <comment ref="C16" authorId="0" shapeId="0">
      <text>
        <t>⚙️ FÓRMULA — Vinculado a Supuestos Generales!B26 (ARPU Neto Ponderado).
Ahora es ARPU ponderado por segmento con descuento automático.
Fee Base: Peq=$12, Med=$25, Gra=$45.
Valores aprox: Pes≈$15.01, Base≈$16.66, Opt≈$17.57</t>
      </text>
    </comment>
    <comment ref="C17" authorId="0" shapeId="0">
      <text>
        <t>⚙️ FÓRMULA — Vinculado a Supuestos Generales!B27.
Cambia con escenario: Pes=$7, Base=$10, Opt=$15.
Fee fijo por mesero activo por marca adicional.</t>
      </text>
    </comment>
    <comment ref="C18" authorId="0" shapeId="0">
      <text>
        <t>Luis Alberto Del Castillo:
⚙️ FÓRMULA — Vinculado a Supuestos Generales!B28.
Cambia con escenario: Pes=1, Base=2, Opt=3</t>
      </text>
    </comment>
    <comment ref="C26" authorId="0" shapeId="0">
      <text>
        <t>Luis Alberto Del Castillo:
⚙️ FÓRMULA — Suma de las 5 alianzas:
CC(5K) + ACODRES(12K) + CCF(5K) + Bavaria(4.5K) + FEMSA(50K)</t>
      </text>
    </comment>
    <comment ref="C32" authorId="0" shapeId="0">
      <text>
        <t>Luis Alberto Del Castillo:
⚙️ FÓRMULA — MRR = (meseros_activos × MRR/mesero) + (rest_efectivos × %upgrade × fee_upgrade).
Incluye Fee Upgrade de Plan desde integración Pricing v2.5.</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twoCellAnchor>
    <from>
      <col>0</col>
      <colOff>0</colOff>
      <row>29</row>
      <rowOff>38100</rowOff>
    </from>
    <to>
      <col>3</col>
      <colOff>254000</colOff>
      <row>44</row>
      <rowOff>165100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635000</colOff>
      <row>29</row>
      <rowOff>38100</rowOff>
    </from>
    <to>
      <col>7</col>
      <colOff>127000</colOff>
      <row>44</row>
      <rowOff>165100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46</row>
      <rowOff>76200</rowOff>
    </from>
    <to>
      <col>3</col>
      <colOff>254000</colOff>
      <row>62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3</col>
      <colOff>635000</colOff>
      <row>46</row>
      <rowOff>76200</rowOff>
    </from>
    <to>
      <col>7</col>
      <colOff>127000</colOff>
      <row>62</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63</row>
      <rowOff>114300</rowOff>
    </from>
    <to>
      <col>3</col>
      <colOff>254000</colOff>
      <row>79</row>
      <rowOff>38100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FF2F5496"/>
    <outlinePr summaryBelow="1" summaryRight="1"/>
    <pageSetUpPr/>
  </sheetPr>
  <dimension ref="A1:N28"/>
  <sheetViews>
    <sheetView workbookViewId="0">
      <pane ySplit="2" topLeftCell="A3" activePane="bottomLeft" state="frozen"/>
      <selection pane="bottomLeft" activeCell="H3" sqref="H3"/>
    </sheetView>
  </sheetViews>
  <sheetFormatPr baseColWidth="10" defaultRowHeight="16"/>
  <cols>
    <col width="26.6640625" customWidth="1" min="1" max="1"/>
    <col width="18.33203125" customWidth="1" min="2" max="7"/>
    <col width="21.6640625" customWidth="1" min="8" max="8"/>
  </cols>
  <sheetData>
    <row r="1" ht="30" customHeight="1">
      <c r="A1" s="622" t="inlineStr">
        <is>
          <t>DASHBOARD — Super Meseros</t>
        </is>
      </c>
      <c r="H1" s="430" t="inlineStr">
        <is>
          <t>⚡ ESCENARIO</t>
        </is>
      </c>
      <c r="I1" s="419" t="n"/>
      <c r="J1" s="419" t="inlineStr">
        <is>
          <t>Año 1</t>
        </is>
      </c>
      <c r="K1" s="419" t="inlineStr">
        <is>
          <t>Año 2</t>
        </is>
      </c>
      <c r="L1" s="419" t="inlineStr">
        <is>
          <t>Año 3</t>
        </is>
      </c>
      <c r="M1" s="419" t="inlineStr">
        <is>
          <t>Año 4</t>
        </is>
      </c>
      <c r="N1" s="419" t="inlineStr">
        <is>
          <t>Año 5</t>
        </is>
      </c>
    </row>
    <row r="2" ht="18" customHeight="1">
      <c r="A2" s="623" t="inlineStr">
        <is>
          <t>Métricas financieras y operativas  ·  Datos dinámicos vinculados al modelo  ·  Escenario activo:</t>
        </is>
      </c>
      <c r="F2" s="624">
        <f>CHOOSE(Escenarios!B4,"PESIMISTA","BASE","OPTIMISTA")</f>
        <v/>
      </c>
      <c r="H2" s="327">
        <f>CHOOSE(Escenarios!B4,"PESIMISTA","BASE","OPTIMISTA")</f>
        <v/>
      </c>
      <c r="I2" s="419" t="inlineStr">
        <is>
          <t>Ingresos</t>
        </is>
      </c>
      <c r="J2" s="419">
        <f>B5</f>
        <v/>
      </c>
      <c r="K2" s="419">
        <f>C5</f>
        <v/>
      </c>
      <c r="L2" s="419">
        <f>D5</f>
        <v/>
      </c>
      <c r="M2" s="419">
        <f>E5</f>
        <v/>
      </c>
      <c r="N2" s="419">
        <f>F5</f>
        <v/>
      </c>
    </row>
    <row r="3" ht="17" customHeight="1" thickBot="1">
      <c r="H3" s="431">
        <f>HYPERLINK("#Escenarios!B4","✏️ Cambiar escenario →")</f>
        <v/>
      </c>
      <c r="I3" s="419" t="inlineStr">
        <is>
          <t>EBITDA</t>
        </is>
      </c>
      <c r="J3" s="419">
        <f>B10</f>
        <v/>
      </c>
      <c r="K3" s="419">
        <f>C10</f>
        <v/>
      </c>
      <c r="L3" s="419">
        <f>D10</f>
        <v/>
      </c>
      <c r="M3" s="419">
        <f>E10</f>
        <v/>
      </c>
      <c r="N3" s="419">
        <f>F10</f>
        <v/>
      </c>
    </row>
    <row r="4">
      <c r="A4" s="377" t="inlineStr">
        <is>
          <t>P&amp;L ANUAL</t>
        </is>
      </c>
      <c r="B4" s="378" t="inlineStr">
        <is>
          <t>Año 1</t>
        </is>
      </c>
      <c r="C4" s="378" t="inlineStr">
        <is>
          <t>Año 2</t>
        </is>
      </c>
      <c r="D4" s="378" t="inlineStr">
        <is>
          <t>Año 3</t>
        </is>
      </c>
      <c r="E4" s="378" t="inlineStr">
        <is>
          <t>Año 4</t>
        </is>
      </c>
      <c r="F4" s="378" t="inlineStr">
        <is>
          <t>Año 5</t>
        </is>
      </c>
      <c r="G4" s="379" t="inlineStr">
        <is>
          <t>Total 60m</t>
        </is>
      </c>
      <c r="I4" s="429" t="inlineStr">
        <is>
          <t>Utilidad Neta</t>
        </is>
      </c>
      <c r="J4" s="419">
        <f>B11</f>
        <v/>
      </c>
      <c r="K4" s="419">
        <f>C11</f>
        <v/>
      </c>
      <c r="L4" s="419">
        <f>D11</f>
        <v/>
      </c>
      <c r="M4" s="419">
        <f>E11</f>
        <v/>
      </c>
      <c r="N4" s="419">
        <f>F11</f>
        <v/>
      </c>
    </row>
    <row r="5">
      <c r="A5" s="386" t="inlineStr">
        <is>
          <t>Ingresos</t>
        </is>
      </c>
      <c r="B5" s="632">
        <f>SUM('Estados Financieros'!B8:M8)</f>
        <v/>
      </c>
      <c r="C5" s="632">
        <f>SUM('Estados Financieros'!N8:Y8)</f>
        <v/>
      </c>
      <c r="D5" s="632">
        <f>SUM('Estados Financieros'!Z8:AK8)</f>
        <v/>
      </c>
      <c r="E5" s="632">
        <f>SUM('Estados Financieros'!AL8:AW8)</f>
        <v/>
      </c>
      <c r="F5" s="632">
        <f>SUM('Estados Financieros'!AX8:BI8)</f>
        <v/>
      </c>
      <c r="G5" s="633">
        <f>'Estados Financieros'!BJ8</f>
        <v/>
      </c>
      <c r="I5" s="419" t="n"/>
      <c r="J5" s="419" t="n"/>
      <c r="K5" s="419" t="n"/>
      <c r="L5" s="419" t="n"/>
      <c r="M5" s="419" t="n"/>
      <c r="N5" s="419" t="n"/>
    </row>
    <row r="6">
      <c r="A6" s="376" t="inlineStr">
        <is>
          <t>Costos Directos</t>
        </is>
      </c>
      <c r="B6" s="634">
        <f>SUM('Estados Financieros'!B11:M11)</f>
        <v/>
      </c>
      <c r="C6" s="634">
        <f>SUM('Estados Financieros'!N11:Y11)</f>
        <v/>
      </c>
      <c r="D6" s="634">
        <f>SUM('Estados Financieros'!Z11:AK11)</f>
        <v/>
      </c>
      <c r="E6" s="634">
        <f>SUM('Estados Financieros'!AL11:AW11)</f>
        <v/>
      </c>
      <c r="F6" s="634">
        <f>SUM('Estados Financieros'!AX11:BI11)</f>
        <v/>
      </c>
      <c r="G6" s="635">
        <f>'Estados Financieros'!BJ11</f>
        <v/>
      </c>
      <c r="I6" s="419" t="n"/>
      <c r="J6" s="419" t="inlineStr">
        <is>
          <t>Año 1</t>
        </is>
      </c>
      <c r="K6" s="419" t="inlineStr">
        <is>
          <t>Año 2</t>
        </is>
      </c>
      <c r="L6" s="419" t="inlineStr">
        <is>
          <t>Año 3</t>
        </is>
      </c>
      <c r="M6" s="419" t="inlineStr">
        <is>
          <t>Año 4</t>
        </is>
      </c>
      <c r="N6" s="419" t="inlineStr">
        <is>
          <t>Año 5</t>
        </is>
      </c>
    </row>
    <row r="7">
      <c r="A7" s="386" t="inlineStr">
        <is>
          <t>Utilidad Bruta</t>
        </is>
      </c>
      <c r="B7" s="633">
        <f>B5-B6</f>
        <v/>
      </c>
      <c r="C7" s="633">
        <f>C5-C6</f>
        <v/>
      </c>
      <c r="D7" s="633">
        <f>D5-D6</f>
        <v/>
      </c>
      <c r="E7" s="633">
        <f>E5-E6</f>
        <v/>
      </c>
      <c r="F7" s="633">
        <f>F5-F6</f>
        <v/>
      </c>
      <c r="G7" s="633">
        <f>G5-G6</f>
        <v/>
      </c>
      <c r="I7" s="419" t="inlineStr">
        <is>
          <t>Restaurantes activos</t>
        </is>
      </c>
      <c r="J7" s="419">
        <f>B15</f>
        <v/>
      </c>
      <c r="K7" s="419">
        <f>C15</f>
        <v/>
      </c>
      <c r="L7" s="419">
        <f>D15</f>
        <v/>
      </c>
      <c r="M7" s="419">
        <f>E15</f>
        <v/>
      </c>
      <c r="N7" s="419">
        <f>F15</f>
        <v/>
      </c>
    </row>
    <row r="8">
      <c r="A8" s="376" t="inlineStr">
        <is>
          <t>CAC y GTM</t>
        </is>
      </c>
      <c r="B8" s="634">
        <f>SUM('Estados Financieros'!B16:M16)</f>
        <v/>
      </c>
      <c r="C8" s="634">
        <f>SUM('Estados Financieros'!N16:Y16)</f>
        <v/>
      </c>
      <c r="D8" s="634">
        <f>SUM('Estados Financieros'!Z16:AK16)</f>
        <v/>
      </c>
      <c r="E8" s="634">
        <f>SUM('Estados Financieros'!AL16:AW16)</f>
        <v/>
      </c>
      <c r="F8" s="634">
        <f>SUM('Estados Financieros'!AX16:BI16)</f>
        <v/>
      </c>
      <c r="G8" s="635">
        <f>'Estados Financieros'!BJ16</f>
        <v/>
      </c>
      <c r="I8" s="419" t="n"/>
      <c r="J8" s="419" t="n"/>
      <c r="K8" s="419" t="n"/>
      <c r="L8" s="419" t="n"/>
      <c r="M8" s="419" t="n"/>
      <c r="N8" s="419" t="n"/>
    </row>
    <row r="9" ht="17" customHeight="1" thickBot="1">
      <c r="A9" s="394" t="inlineStr">
        <is>
          <t>OPEX</t>
        </is>
      </c>
      <c r="B9" s="636">
        <f>SUM('Estados Financieros'!B21:M21)</f>
        <v/>
      </c>
      <c r="C9" s="636">
        <f>SUM('Estados Financieros'!N21:Y21)</f>
        <v/>
      </c>
      <c r="D9" s="636">
        <f>SUM('Estados Financieros'!Z21:AK21)</f>
        <v/>
      </c>
      <c r="E9" s="636">
        <f>SUM('Estados Financieros'!AL21:AW21)</f>
        <v/>
      </c>
      <c r="F9" s="636">
        <f>SUM('Estados Financieros'!AX21:BI21)</f>
        <v/>
      </c>
      <c r="G9" s="637">
        <f>'Estados Financieros'!BJ21</f>
        <v/>
      </c>
      <c r="I9" s="419" t="n"/>
      <c r="J9" s="419" t="inlineStr">
        <is>
          <t>Año 1</t>
        </is>
      </c>
      <c r="K9" s="419" t="inlineStr">
        <is>
          <t>Año 2</t>
        </is>
      </c>
      <c r="L9" s="419" t="inlineStr">
        <is>
          <t>Año 3</t>
        </is>
      </c>
      <c r="M9" s="419" t="inlineStr">
        <is>
          <t>Año 4</t>
        </is>
      </c>
      <c r="N9" s="419" t="inlineStr">
        <is>
          <t>Año 5</t>
        </is>
      </c>
    </row>
    <row r="10">
      <c r="A10" s="397" t="inlineStr">
        <is>
          <t>EBITDA</t>
        </is>
      </c>
      <c r="B10" s="638">
        <f>SUM('Estados Financieros'!B22:M22)</f>
        <v/>
      </c>
      <c r="C10" s="638">
        <f>SUM('Estados Financieros'!N22:Y22)</f>
        <v/>
      </c>
      <c r="D10" s="638">
        <f>SUM('Estados Financieros'!Z22:AK22)</f>
        <v/>
      </c>
      <c r="E10" s="638">
        <f>SUM('Estados Financieros'!AL22:AW22)</f>
        <v/>
      </c>
      <c r="F10" s="638">
        <f>SUM('Estados Financieros'!AX22:BI22)</f>
        <v/>
      </c>
      <c r="G10" s="638">
        <f>'Estados Financieros'!BJ22</f>
        <v/>
      </c>
      <c r="I10" s="419" t="inlineStr">
        <is>
          <t>Margen Bruto</t>
        </is>
      </c>
      <c r="J10" s="419">
        <f>B17</f>
        <v/>
      </c>
      <c r="K10" s="419">
        <f>C17</f>
        <v/>
      </c>
      <c r="L10" s="419">
        <f>D17</f>
        <v/>
      </c>
      <c r="M10" s="419">
        <f>E17</f>
        <v/>
      </c>
      <c r="N10" s="419">
        <f>F17</f>
        <v/>
      </c>
    </row>
    <row r="11" ht="17" customHeight="1" thickBot="1">
      <c r="A11" s="399" t="inlineStr">
        <is>
          <t>Utilidad Neta</t>
        </is>
      </c>
      <c r="B11" s="639">
        <f>SUM('Estados Financieros'!B25:M25)</f>
        <v/>
      </c>
      <c r="C11" s="639">
        <f>SUM('Estados Financieros'!N25:Y25)</f>
        <v/>
      </c>
      <c r="D11" s="639">
        <f>SUM('Estados Financieros'!Z25:AK25)</f>
        <v/>
      </c>
      <c r="E11" s="639">
        <f>SUM('Estados Financieros'!AL25:AW25)</f>
        <v/>
      </c>
      <c r="F11" s="639">
        <f>SUM('Estados Financieros'!AX25:BI25)</f>
        <v/>
      </c>
      <c r="G11" s="639">
        <f>'Estados Financieros'!BJ25</f>
        <v/>
      </c>
      <c r="I11" s="419" t="inlineStr">
        <is>
          <t>Margen EBITDA</t>
        </is>
      </c>
      <c r="J11" s="419">
        <f>B18</f>
        <v/>
      </c>
      <c r="K11" s="419">
        <f>C18</f>
        <v/>
      </c>
      <c r="L11" s="419">
        <f>D18</f>
        <v/>
      </c>
      <c r="M11" s="419">
        <f>E18</f>
        <v/>
      </c>
      <c r="N11" s="419">
        <f>F18</f>
        <v/>
      </c>
    </row>
    <row r="12" ht="18" customHeight="1" thickBot="1" thickTop="1">
      <c r="A12" s="401" t="inlineStr">
        <is>
          <t>Caja Final</t>
        </is>
      </c>
      <c r="B12" s="640">
        <f>'Estados Financieros'!M31</f>
        <v/>
      </c>
      <c r="C12" s="640">
        <f>'Estados Financieros'!Y31</f>
        <v/>
      </c>
      <c r="D12" s="640">
        <f>'Estados Financieros'!AK31</f>
        <v/>
      </c>
      <c r="E12" s="640">
        <f>'Estados Financieros'!AW31</f>
        <v/>
      </c>
      <c r="F12" s="640">
        <f>'Estados Financieros'!BI31</f>
        <v/>
      </c>
      <c r="G12" s="640">
        <f>'Estados Financieros'!BJ31</f>
        <v/>
      </c>
      <c r="I12" s="419" t="inlineStr">
        <is>
          <t>Margen Neto</t>
        </is>
      </c>
      <c r="J12" s="419">
        <f>B19</f>
        <v/>
      </c>
      <c r="K12" s="419">
        <f>C19</f>
        <v/>
      </c>
      <c r="L12" s="419">
        <f>D19</f>
        <v/>
      </c>
      <c r="M12" s="419">
        <f>E19</f>
        <v/>
      </c>
      <c r="N12" s="419">
        <f>F19</f>
        <v/>
      </c>
    </row>
    <row r="13" ht="6" customHeight="1" thickBot="1">
      <c r="I13" s="419" t="n"/>
      <c r="J13" s="419" t="n"/>
      <c r="K13" s="419" t="n"/>
      <c r="L13" s="419" t="n"/>
      <c r="M13" s="419" t="n"/>
      <c r="N13" s="419" t="n"/>
    </row>
    <row r="14">
      <c r="A14" s="384" t="inlineStr">
        <is>
          <t>KPIs OPERATIVOS</t>
        </is>
      </c>
      <c r="B14" s="385" t="inlineStr">
        <is>
          <t>Año 1</t>
        </is>
      </c>
      <c r="C14" s="385" t="inlineStr">
        <is>
          <t>Año 2</t>
        </is>
      </c>
      <c r="D14" s="385" t="inlineStr">
        <is>
          <t>Año 3</t>
        </is>
      </c>
      <c r="E14" s="385" t="inlineStr">
        <is>
          <t>Año 4</t>
        </is>
      </c>
      <c r="F14" s="385" t="inlineStr">
        <is>
          <t>Año 5</t>
        </is>
      </c>
      <c r="I14" s="419" t="n"/>
      <c r="J14" s="419" t="inlineStr">
        <is>
          <t>Año 1</t>
        </is>
      </c>
      <c r="K14" s="419" t="inlineStr">
        <is>
          <t>Año 2</t>
        </is>
      </c>
      <c r="L14" s="419" t="inlineStr">
        <is>
          <t>Año 3</t>
        </is>
      </c>
      <c r="M14" s="419" t="inlineStr">
        <is>
          <t>Año 4</t>
        </is>
      </c>
      <c r="N14" s="419" t="inlineStr">
        <is>
          <t>Año 5</t>
        </is>
      </c>
    </row>
    <row r="15">
      <c r="A15" s="389" t="inlineStr">
        <is>
          <t>Rest. activos (fin año)</t>
        </is>
      </c>
      <c r="B15" s="390">
        <f>'Estados Financieros'!M35</f>
        <v/>
      </c>
      <c r="C15" s="390">
        <f>'Estados Financieros'!Y35</f>
        <v/>
      </c>
      <c r="D15" s="390">
        <f>'Estados Financieros'!AK35</f>
        <v/>
      </c>
      <c r="E15" s="390">
        <f>'Estados Financieros'!AW35</f>
        <v/>
      </c>
      <c r="F15" s="390">
        <f>'Estados Financieros'!BI35</f>
        <v/>
      </c>
      <c r="I15" s="419" t="inlineStr">
        <is>
          <t>Costos Directos</t>
        </is>
      </c>
      <c r="J15" s="419">
        <f>B6</f>
        <v/>
      </c>
      <c r="K15" s="419">
        <f>C6</f>
        <v/>
      </c>
      <c r="L15" s="419">
        <f>D6</f>
        <v/>
      </c>
      <c r="M15" s="419">
        <f>E6</f>
        <v/>
      </c>
      <c r="N15" s="419">
        <f>F6</f>
        <v/>
      </c>
    </row>
    <row r="16">
      <c r="A16" s="380" t="inlineStr">
        <is>
          <t>Meseros activos (fin año)</t>
        </is>
      </c>
      <c r="B16" s="381">
        <f>'Estados Financieros'!M36</f>
        <v/>
      </c>
      <c r="C16" s="381">
        <f>'Estados Financieros'!Y36</f>
        <v/>
      </c>
      <c r="D16" s="381">
        <f>'Estados Financieros'!AK36</f>
        <v/>
      </c>
      <c r="E16" s="381">
        <f>'Estados Financieros'!AW36</f>
        <v/>
      </c>
      <c r="F16" s="381">
        <f>'Estados Financieros'!BI36</f>
        <v/>
      </c>
      <c r="I16" s="419" t="inlineStr">
        <is>
          <t>CAC y GTM</t>
        </is>
      </c>
      <c r="J16" s="419">
        <f>B8</f>
        <v/>
      </c>
      <c r="K16" s="419">
        <f>C8</f>
        <v/>
      </c>
      <c r="L16" s="419">
        <f>D8</f>
        <v/>
      </c>
      <c r="M16" s="419">
        <f>E8</f>
        <v/>
      </c>
      <c r="N16" s="419">
        <f>F8</f>
        <v/>
      </c>
    </row>
    <row r="17">
      <c r="A17" s="389" t="inlineStr">
        <is>
          <t>Margen Bruto</t>
        </is>
      </c>
      <c r="B17" s="641">
        <f>IF(B5=0,0,B7/B5)</f>
        <v/>
      </c>
      <c r="C17" s="641">
        <f>IF(C5=0,0,C7/C5)</f>
        <v/>
      </c>
      <c r="D17" s="641">
        <f>IF(D5=0,0,D7/D5)</f>
        <v/>
      </c>
      <c r="E17" s="641">
        <f>IF(E5=0,0,E7/E5)</f>
        <v/>
      </c>
      <c r="F17" s="641">
        <f>IF(F5=0,0,F7/F5)</f>
        <v/>
      </c>
      <c r="I17" s="419" t="inlineStr">
        <is>
          <t>OPEX</t>
        </is>
      </c>
      <c r="J17" s="419">
        <f>B9</f>
        <v/>
      </c>
      <c r="K17" s="419">
        <f>C9</f>
        <v/>
      </c>
      <c r="L17" s="419">
        <f>D9</f>
        <v/>
      </c>
      <c r="M17" s="419">
        <f>E9</f>
        <v/>
      </c>
      <c r="N17" s="419">
        <f>F9</f>
        <v/>
      </c>
    </row>
    <row r="18">
      <c r="A18" s="382" t="inlineStr">
        <is>
          <t>Margen EBITDA</t>
        </is>
      </c>
      <c r="B18" s="642">
        <f>IF(B5=0,0,B10/B5)</f>
        <v/>
      </c>
      <c r="C18" s="642">
        <f>IF(C5=0,0,C10/C5)</f>
        <v/>
      </c>
      <c r="D18" s="642">
        <f>IF(D5=0,0,D10/D5)</f>
        <v/>
      </c>
      <c r="E18" s="642">
        <f>IF(E5=0,0,E10/E5)</f>
        <v/>
      </c>
      <c r="F18" s="642">
        <f>IF(F5=0,0,F10/F5)</f>
        <v/>
      </c>
      <c r="I18" s="419" t="inlineStr">
        <is>
          <t>EBITDA</t>
        </is>
      </c>
      <c r="J18" s="419">
        <f>B10</f>
        <v/>
      </c>
      <c r="K18" s="419">
        <f>C10</f>
        <v/>
      </c>
      <c r="L18" s="419">
        <f>D10</f>
        <v/>
      </c>
      <c r="M18" s="419">
        <f>E10</f>
        <v/>
      </c>
      <c r="N18" s="419">
        <f>F10</f>
        <v/>
      </c>
    </row>
    <row r="19" ht="17" customHeight="1" thickBot="1">
      <c r="A19" s="392" t="inlineStr">
        <is>
          <t>Margen Neto</t>
        </is>
      </c>
      <c r="B19" s="643">
        <f>IF(B5=0,0,B11/B5)</f>
        <v/>
      </c>
      <c r="C19" s="643">
        <f>IF(C5=0,0,C11/C5)</f>
        <v/>
      </c>
      <c r="D19" s="643">
        <f>IF(D5=0,0,D11/D5)</f>
        <v/>
      </c>
      <c r="E19" s="643">
        <f>IF(E5=0,0,E11/E5)</f>
        <v/>
      </c>
      <c r="F19" s="643">
        <f>IF(F5=0,0,F11/F5)</f>
        <v/>
      </c>
      <c r="I19" s="419" t="n"/>
      <c r="J19" s="419" t="n"/>
      <c r="K19" s="419" t="n"/>
      <c r="L19" s="419" t="n"/>
      <c r="M19" s="419" t="n"/>
      <c r="N19" s="419" t="n"/>
    </row>
    <row r="20" ht="6" customHeight="1">
      <c r="I20" s="419" t="n"/>
      <c r="J20" s="419" t="inlineStr">
        <is>
          <t>Año 1</t>
        </is>
      </c>
      <c r="K20" s="419" t="inlineStr">
        <is>
          <t>Año 2</t>
        </is>
      </c>
      <c r="L20" s="419" t="inlineStr">
        <is>
          <t>Año 3</t>
        </is>
      </c>
      <c r="M20" s="419" t="inlineStr">
        <is>
          <t>Año 4</t>
        </is>
      </c>
      <c r="N20" s="419" t="inlineStr">
        <is>
          <t>Año 5</t>
        </is>
      </c>
    </row>
    <row r="21">
      <c r="A21" s="348" t="inlineStr">
        <is>
          <t>VALORACIÓN &amp; DEAL STRUCTURE</t>
        </is>
      </c>
      <c r="B21" s="350" t="n"/>
      <c r="C21" s="350" t="n"/>
      <c r="D21" s="406" t="inlineStr">
        <is>
          <t>ALIANZAS ACTIVAS</t>
        </is>
      </c>
      <c r="E21" s="407" t="inlineStr">
        <is>
          <t>Estado</t>
        </is>
      </c>
      <c r="F21" s="407" t="inlineStr">
        <is>
          <t>Rest/mes</t>
        </is>
      </c>
      <c r="I21" s="419" t="inlineStr">
        <is>
          <t>Restaurantes activos</t>
        </is>
      </c>
      <c r="J21" s="419">
        <f>B15</f>
        <v/>
      </c>
      <c r="K21" s="419">
        <f>C15</f>
        <v/>
      </c>
      <c r="L21" s="419">
        <f>D15</f>
        <v/>
      </c>
      <c r="M21" s="419">
        <f>E15</f>
        <v/>
      </c>
      <c r="N21" s="419">
        <f>F15</f>
        <v/>
      </c>
    </row>
    <row r="22">
      <c r="A22" s="427" t="inlineStr">
        <is>
          <t>Valoración Pre-Money (ponderada)</t>
        </is>
      </c>
      <c r="B22" s="644">
        <f>Valoración!C52</f>
        <v/>
      </c>
      <c r="D22" s="415" t="inlineStr">
        <is>
          <t>Coca-Cola</t>
        </is>
      </c>
      <c r="E22" s="416">
        <f>IF(Palancas!B13=1,"✅ ON","❌ OFF")</f>
        <v/>
      </c>
      <c r="F22" s="417">
        <f>IF(Palancas!B13=1,Palancas!B16,0)</f>
        <v/>
      </c>
      <c r="I22" s="420" t="inlineStr">
        <is>
          <t>Caja Final</t>
        </is>
      </c>
      <c r="J22" s="419">
        <f>B12</f>
        <v/>
      </c>
      <c r="K22" s="419">
        <f>C12</f>
        <v/>
      </c>
      <c r="L22" s="419">
        <f>D12</f>
        <v/>
      </c>
      <c r="M22" s="419">
        <f>E12</f>
        <v/>
      </c>
      <c r="N22" s="419">
        <f>F12</f>
        <v/>
      </c>
    </row>
    <row r="23">
      <c r="A23" s="425" t="inlineStr">
        <is>
          <t>Monto a levantar</t>
        </is>
      </c>
      <c r="B23" s="645">
        <f>Valoración!C56</f>
        <v/>
      </c>
      <c r="D23" s="408" t="inlineStr">
        <is>
          <t>ACODRES</t>
        </is>
      </c>
      <c r="E23" s="409">
        <f>IF(Palancas!F13=1,"✅ ON","❌ OFF")</f>
        <v/>
      </c>
      <c r="F23" s="410">
        <f>IF(Palancas!F13=1,Palancas!F16,0)</f>
        <v/>
      </c>
    </row>
    <row r="24">
      <c r="A24" s="411" t="inlineStr">
        <is>
          <t>Valoración Post-Money</t>
        </is>
      </c>
      <c r="B24" s="646">
        <f>Valoración!C57</f>
        <v/>
      </c>
      <c r="D24" s="415" t="inlineStr">
        <is>
          <t>Bavaria</t>
        </is>
      </c>
      <c r="E24" s="416">
        <f>IF(Palancas!B21=1,"✅ ON","❌ OFF")</f>
        <v/>
      </c>
      <c r="F24" s="417">
        <f>IF(Palancas!B21=1,Palancas!B24,0)</f>
        <v/>
      </c>
    </row>
    <row r="25">
      <c r="A25" s="403" t="inlineStr">
        <is>
          <t>Dilución del fundador</t>
        </is>
      </c>
      <c r="B25" s="405">
        <f>Valoración!C58</f>
        <v/>
      </c>
      <c r="D25" s="408" t="inlineStr">
        <is>
          <t>FEMSA</t>
        </is>
      </c>
      <c r="E25" s="409">
        <f>IF(Palancas!F21=1,"✅ ON","❌ OFF")</f>
        <v/>
      </c>
      <c r="F25" s="410">
        <f>IF(Palancas!F21=1,Palancas!F24,0)</f>
        <v/>
      </c>
    </row>
    <row r="26">
      <c r="A26" s="411" t="inlineStr">
        <is>
          <t>ARR Pipeline</t>
        </is>
      </c>
      <c r="B26" s="646">
        <f>Valoración!C33</f>
        <v/>
      </c>
      <c r="D26" s="415" t="inlineStr">
        <is>
          <t>CC Florida</t>
        </is>
      </c>
      <c r="E26" s="416">
        <f>IF(Palancas!B29=1,"✅ ON","❌ OFF")</f>
        <v/>
      </c>
      <c r="F26" s="417">
        <f>IF(Palancas!B29=1,Palancas!B32,0)</f>
        <v/>
      </c>
    </row>
    <row r="27" ht="17" customHeight="1" thickBot="1">
      <c r="A27" s="403" t="inlineStr">
        <is>
          <t>ARR Modelo Año 1</t>
        </is>
      </c>
      <c r="B27" s="647">
        <f>Valoración!C36</f>
        <v/>
      </c>
      <c r="D27" s="421" t="n"/>
      <c r="E27" s="422" t="n"/>
      <c r="F27" s="422" t="n"/>
    </row>
    <row r="28" ht="17" customHeight="1" thickBot="1">
      <c r="A28" s="413" t="inlineStr">
        <is>
          <t>Restaurantes mes 60</t>
        </is>
      </c>
      <c r="B28" s="414">
        <f>Valoración!C40</f>
        <v/>
      </c>
      <c r="D28" s="423" t="inlineStr">
        <is>
          <t>Total alianzas/mes</t>
        </is>
      </c>
      <c r="E28" s="424">
        <f>COUNTIF(E22:E26,"✅ ON")</f>
        <v/>
      </c>
      <c r="F28" s="424">
        <f>SUM(F22:F26)</f>
        <v/>
      </c>
    </row>
  </sheetData>
  <mergeCells count="3">
    <mergeCell ref="A2:E2"/>
    <mergeCell ref="F2:G2"/>
    <mergeCell ref="A1:G1"/>
  </mergeCells>
  <pageMargins left="0.7" right="0.7" top="0.75" bottom="0.75" header="0.3" footer="0.3"/>
  <pageSetup orientation="portrait" horizontalDpi="0" verticalDpi="0"/>
  <drawing xmlns:r="http://schemas.openxmlformats.org/officeDocument/2006/relationships" r:id="rId1"/>
</worksheet>
</file>

<file path=xl/worksheets/sheet2.xml><?xml version="1.0" encoding="utf-8"?>
<worksheet xmlns="http://schemas.openxmlformats.org/spreadsheetml/2006/main">
  <sheetPr>
    <tabColor rgb="FF2E75B6"/>
    <outlinePr summaryBelow="1" summaryRight="1"/>
    <pageSetUpPr/>
  </sheetPr>
  <dimension ref="A1:E36"/>
  <sheetViews>
    <sheetView workbookViewId="0">
      <selection activeCell="D2" sqref="D2"/>
    </sheetView>
  </sheetViews>
  <sheetFormatPr baseColWidth="10" defaultRowHeight="16"/>
  <cols>
    <col width="53.33203125" customWidth="1" min="1" max="1"/>
    <col width="7.6640625" customWidth="1" min="2" max="2"/>
    <col width="20" customWidth="1" min="3" max="3"/>
    <col width="26.6640625" customWidth="1" min="4" max="4"/>
  </cols>
  <sheetData>
    <row r="1" ht="19" customHeight="1">
      <c r="A1" s="437" t="inlineStr">
        <is>
          <t>UNIT ECONOMICS — Simulador por Restaurante</t>
        </is>
      </c>
      <c r="B1" s="6" t="n"/>
      <c r="C1" s="6" t="n"/>
      <c r="D1" s="48" t="inlineStr">
        <is>
          <t>⚡ ESCENARIO</t>
        </is>
      </c>
      <c r="E1" s="6" t="n"/>
    </row>
    <row r="2">
      <c r="C2" s="470">
        <f>CHOOSE(Escenarios!B4,"PESIMISTA","BASE","OPTIMISTA")</f>
        <v/>
      </c>
      <c r="D2" s="471">
        <f>HYPERLINK("#Escenarios!B4","✏️ Cambiar →")</f>
        <v/>
      </c>
    </row>
    <row r="3">
      <c r="A3" s="108" t="inlineStr">
        <is>
          <t>📊 INPUT DEL INVERSIONISTA</t>
        </is>
      </c>
    </row>
    <row r="4" ht="17" customHeight="1" thickBot="1"/>
    <row r="5" ht="20" customHeight="1" thickBot="1">
      <c r="A5" s="128" t="inlineStr">
        <is>
          <t>Número de restaurantes</t>
        </is>
      </c>
      <c r="B5" s="469" t="n">
        <v>1</v>
      </c>
      <c r="C5" s="439" t="inlineStr">
        <is>
          <t>← Cambie este número</t>
        </is>
      </c>
    </row>
    <row r="7">
      <c r="A7" s="440" t="inlineStr">
        <is>
          <t>PARÁMETROS BASE (1 Restaurante)</t>
        </is>
      </c>
      <c r="B7" s="103" t="n"/>
      <c r="C7" s="441" t="inlineStr">
        <is>
          <t>Valor</t>
        </is>
      </c>
      <c r="D7" s="441" t="inlineStr">
        <is>
          <t>Fuente</t>
        </is>
      </c>
      <c r="E7" s="103" t="n"/>
    </row>
    <row r="8">
      <c r="A8" t="inlineStr">
        <is>
          <t>Meseros promedio por restaurante</t>
        </is>
      </c>
      <c r="C8" s="442">
        <f>'Supuestos Generales'!B19</f>
        <v/>
      </c>
      <c r="D8" s="443" t="inlineStr">
        <is>
          <t>Supuestos B19</t>
        </is>
      </c>
    </row>
    <row r="9">
      <c r="A9" t="inlineStr">
        <is>
          <t>% de meseros activos</t>
        </is>
      </c>
      <c r="C9" s="648">
        <f>'Supuestos Generales'!B20</f>
        <v/>
      </c>
      <c r="D9" s="443" t="inlineStr">
        <is>
          <t>Supuestos B20</t>
        </is>
      </c>
    </row>
    <row r="10">
      <c r="A10" t="inlineStr">
        <is>
          <t>Meseros activos por restaurante</t>
        </is>
      </c>
      <c r="C10" s="445">
        <f>C8*C9</f>
        <v/>
      </c>
      <c r="D10" s="446" t="inlineStr">
        <is>
          <t>Calculado</t>
        </is>
      </c>
    </row>
    <row r="11">
      <c r="A11" t="inlineStr">
        <is>
          <t>Marcas promedio por restaurante</t>
        </is>
      </c>
      <c r="C11" s="649">
        <f>'Supuestos Generales'!B28</f>
        <v/>
      </c>
      <c r="D11" s="443" t="inlineStr">
        <is>
          <t>Supuestos B28</t>
        </is>
      </c>
    </row>
    <row r="13">
      <c r="A13" s="448" t="inlineStr">
        <is>
          <t>INGRESOS ONE-OFF (por restaurante nuevo)</t>
        </is>
      </c>
      <c r="B13" s="342" t="n"/>
      <c r="C13" s="449" t="inlineStr">
        <is>
          <t>USD</t>
        </is>
      </c>
      <c r="D13" s="450" t="inlineStr">
        <is>
          <t>Fuente</t>
        </is>
      </c>
      <c r="E13" s="342" t="n"/>
    </row>
    <row r="14">
      <c r="A14" t="inlineStr">
        <is>
          <t>SetUp Fee</t>
        </is>
      </c>
      <c r="C14" s="650">
        <f>'Supuestos Generales'!B24</f>
        <v/>
      </c>
      <c r="D14" s="443" t="inlineStr">
        <is>
          <t>Supuestos B24</t>
        </is>
      </c>
    </row>
    <row r="15">
      <c r="A15" t="inlineStr">
        <is>
          <t>Entry Fee (por marca)</t>
        </is>
      </c>
      <c r="C15" s="650">
        <f>'Supuestos Generales'!B25*C11</f>
        <v/>
      </c>
      <c r="D15" s="443" t="inlineStr">
        <is>
          <t>B25 × marcas</t>
        </is>
      </c>
    </row>
    <row r="16" ht="17" customHeight="1" thickBot="1">
      <c r="A16" s="455" t="inlineStr">
        <is>
          <t>Total Ingresos One-Off</t>
        </is>
      </c>
      <c r="B16" s="456" t="n"/>
      <c r="C16" s="651">
        <f>C14+C15</f>
        <v/>
      </c>
      <c r="D16" s="458" t="inlineStr">
        <is>
          <t>Suma</t>
        </is>
      </c>
    </row>
    <row r="18">
      <c r="A18" s="448" t="inlineStr">
        <is>
          <t>INGRESOS RECURRENTES / MES (por restaurante)</t>
        </is>
      </c>
      <c r="B18" s="342" t="n"/>
      <c r="C18" s="449" t="inlineStr">
        <is>
          <t>USD/mes</t>
        </is>
      </c>
      <c r="D18" s="449" t="inlineStr">
        <is>
          <t>Fuente</t>
        </is>
      </c>
      <c r="E18" s="342" t="n"/>
    </row>
    <row r="19">
      <c r="A19" t="inlineStr">
        <is>
          <t>SaaS Fee Restaurante (por mesero activo)</t>
        </is>
      </c>
      <c r="C19" s="650">
        <f>'Supuestos Generales'!B26*C10</f>
        <v/>
      </c>
      <c r="D19" s="443" t="inlineStr">
        <is>
          <t>B26 × activos</t>
        </is>
      </c>
    </row>
    <row r="20">
      <c r="A20" t="inlineStr">
        <is>
          <t>SaaS Fee Marcas (por mesero activo × marcas)</t>
        </is>
      </c>
      <c r="C20" s="650">
        <f>'Supuestos Generales'!B27*C10*C11</f>
        <v/>
      </c>
      <c r="D20" s="443" t="inlineStr">
        <is>
          <t>B27 × activos × marcas</t>
        </is>
      </c>
    </row>
    <row r="21">
      <c r="A21" s="193" t="inlineStr">
        <is>
          <t>Fee Upgrade de Plan</t>
        </is>
      </c>
      <c r="C21" s="652">
        <f>'Supuestos Generales'!B59*'Supuestos Generales'!B60</f>
        <v/>
      </c>
      <c r="D21" s="479" t="inlineStr">
        <is>
          <t>B59 × B60 (% upgrade × fee)</t>
        </is>
      </c>
    </row>
    <row r="22">
      <c r="A22" s="438" t="inlineStr">
        <is>
          <t>Super Monedas — Restaurantes (bruto)</t>
        </is>
      </c>
      <c r="C22" s="653">
        <f>'Supuestos Generales'!B31*C10</f>
        <v/>
      </c>
      <c r="D22" s="446" t="inlineStr">
        <is>
          <t>B31 × activos</t>
        </is>
      </c>
    </row>
    <row r="23">
      <c r="A23" s="438" t="inlineStr">
        <is>
          <t>Super Monedas — Marcas (bruto)</t>
        </is>
      </c>
      <c r="C23" s="653">
        <f>'Supuestos Generales'!B32*C10*C11</f>
        <v/>
      </c>
      <c r="D23" s="446" t="inlineStr">
        <is>
          <t>B32 × activos × marcas</t>
        </is>
      </c>
    </row>
    <row r="24">
      <c r="A24" s="438" t="inlineStr">
        <is>
          <t>Total Super Monedas (bruto)</t>
        </is>
      </c>
      <c r="C24" s="653">
        <f>C22+C23</f>
        <v/>
      </c>
    </row>
    <row r="25">
      <c r="A25" s="438" t="inlineStr">
        <is>
          <t>Ingreso neto Super Monedas (breakage + margen)</t>
        </is>
      </c>
      <c r="C25" s="650">
        <f>C24*('Supuestos Generales'!B34+'Supuestos Generales'!B33*'Supuestos Generales'!B35)</f>
        <v/>
      </c>
      <c r="D25" s="443" t="inlineStr">
        <is>
          <t>breakage + margen redención</t>
        </is>
      </c>
    </row>
    <row r="27" ht="17" customHeight="1" thickBot="1">
      <c r="A27" s="459" t="inlineStr">
        <is>
          <t>Total Ingresos Recurrentes / Mes</t>
        </is>
      </c>
      <c r="C27" s="654">
        <f>C19+C20+C21+C24</f>
        <v/>
      </c>
      <c r="D27" s="446" t="inlineStr">
        <is>
          <t>Suma SaaS + SM neto</t>
        </is>
      </c>
    </row>
    <row r="28" ht="17" customHeight="1" thickBot="1">
      <c r="A28" s="461" t="inlineStr">
        <is>
          <t>Ingreso Anualizado (1 restaurante)</t>
        </is>
      </c>
      <c r="B28" s="462" t="n"/>
      <c r="C28" s="655">
        <f>C27*12</f>
        <v/>
      </c>
      <c r="D28" s="464" t="inlineStr">
        <is>
          <t>Recurrente × 12</t>
        </is>
      </c>
    </row>
    <row r="30">
      <c r="A30" s="440" t="inlineStr">
        <is>
          <t>ESCALAMIENTO — Total por Número de Restaurantes</t>
        </is>
      </c>
      <c r="B30" s="103" t="n"/>
      <c r="C30" s="441" t="inlineStr">
        <is>
          <t>USD</t>
        </is>
      </c>
      <c r="D30" s="441" t="inlineStr">
        <is>
          <t>Fórmula</t>
        </is>
      </c>
      <c r="E30" s="103" t="n"/>
    </row>
    <row r="31">
      <c r="A31" t="inlineStr">
        <is>
          <t>Restaurantes</t>
        </is>
      </c>
      <c r="C31" s="453">
        <f>B5</f>
        <v/>
      </c>
      <c r="D31" s="446" t="inlineStr">
        <is>
          <t>← Input B5</t>
        </is>
      </c>
    </row>
    <row r="32">
      <c r="A32" t="inlineStr">
        <is>
          <t>Total Ingresos One-Off</t>
        </is>
      </c>
      <c r="C32" s="650">
        <f>C16*C31</f>
        <v/>
      </c>
      <c r="D32" s="446" t="inlineStr">
        <is>
          <t>One-off × restaurantes</t>
        </is>
      </c>
    </row>
    <row r="33">
      <c r="A33" t="inlineStr">
        <is>
          <t>Total Ingresos Recurrentes / Mes</t>
        </is>
      </c>
      <c r="C33" s="650">
        <f>C27*C31</f>
        <v/>
      </c>
      <c r="D33" s="446" t="inlineStr">
        <is>
          <t>Recurrente × restaurantes</t>
        </is>
      </c>
    </row>
    <row r="34" ht="20" customHeight="1" thickBot="1">
      <c r="A34" s="465" t="inlineStr">
        <is>
          <t>Total Ingreso Anualizado</t>
        </is>
      </c>
      <c r="B34" s="466" t="n"/>
      <c r="C34" s="656">
        <f>C28*C31</f>
        <v/>
      </c>
      <c r="D34" s="468" t="inlineStr">
        <is>
          <t>Anualizado × restaurantes</t>
        </is>
      </c>
    </row>
    <row r="35" ht="17" customHeight="1" thickTop="1"/>
    <row r="36">
      <c r="A36" s="8" t="inlineStr">
        <is>
          <t>Ingreso recurrente mensual por restaurante (referencia)</t>
        </is>
      </c>
      <c r="C36" s="657">
        <f>C27</f>
        <v/>
      </c>
      <c r="D36" s="446" t="inlineStr">
        <is>
          <t>Constante</t>
        </is>
      </c>
    </row>
  </sheetData>
  <conditionalFormatting sqref="C2">
    <cfRule type="containsText" priority="1" operator="containsText" dxfId="2" text="PESIMISTA">
      <formula>NOT(ISERROR(SEARCH("PESIMISTA",C2)))</formula>
    </cfRule>
    <cfRule type="containsText" priority="2" operator="containsText" dxfId="1" text="BASE">
      <formula>NOT(ISERROR(SEARCH("BASE",C2)))</formula>
    </cfRule>
    <cfRule type="containsText" priority="3" operator="containsText" dxfId="0" text="OPTIMISTA">
      <formula>NOT(ISERROR(SEARCH("OPTIMISTA",C2)))</formula>
    </cfRule>
  </conditionalFormatting>
  <pageMargins left="0.7" right="0.7" top="0.75" bottom="0.75" header="0.3" footer="0.3"/>
  <pageSetup orientation="portrait" horizontalDpi="0" verticalDpi="0"/>
  <legacyDrawing xmlns:r="http://schemas.openxmlformats.org/officeDocument/2006/relationships" r:id="anysvml"/>
</worksheet>
</file>

<file path=xl/worksheets/sheet3.xml><?xml version="1.0" encoding="utf-8"?>
<worksheet xmlns="http://schemas.openxmlformats.org/spreadsheetml/2006/main">
  <sheetPr>
    <tabColor rgb="FF2F5496"/>
    <outlinePr summaryBelow="1" summaryRight="1"/>
    <pageSetUpPr/>
  </sheetPr>
  <dimension ref="A1:DP219"/>
  <sheetViews>
    <sheetView workbookViewId="0">
      <selection activeCell="F71" sqref="F71"/>
    </sheetView>
  </sheetViews>
  <sheetFormatPr baseColWidth="10" defaultRowHeight="16" outlineLevelRow="2"/>
  <cols>
    <col width="46.6640625" customWidth="1" min="1" max="1"/>
    <col width="19.1640625" customWidth="1" min="2" max="4"/>
    <col width="16.6640625" customWidth="1" min="5" max="7"/>
    <col width="21.6640625" customWidth="1" min="8" max="8"/>
  </cols>
  <sheetData>
    <row r="1" ht="24" customHeight="1">
      <c r="A1" s="516" t="inlineStr">
        <is>
          <t>MASTER WAITERS (Super Meseros)</t>
        </is>
      </c>
      <c r="B1" s="103" t="n"/>
      <c r="C1" s="103" t="n"/>
      <c r="D1" s="103" t="n"/>
      <c r="E1" s="103" t="n"/>
      <c r="F1" s="103" t="n"/>
      <c r="G1" s="517" t="inlineStr">
        <is>
          <t>⚡ ESCENARIO</t>
        </is>
      </c>
      <c r="H1" s="103" t="n"/>
    </row>
    <row r="2" ht="19" customHeight="1">
      <c r="A2" s="238" t="inlineStr">
        <is>
          <t>Resumen de Escenarios Financieros  ·  Modelo v4.0  ·  Datos dinámicos vinculados al modelo  ·  Copiar y pegar en pitch deck</t>
        </is>
      </c>
      <c r="G2" s="518">
        <f>CHOOSE(Escenarios!B4,"PESIMISTA","BASE","OPTIMISTA")</f>
        <v/>
      </c>
    </row>
    <row r="3">
      <c r="G3" s="594">
        <f>HYPERLINK("#Escenarios!B4","✏️ Cambiar escenario →")</f>
        <v/>
      </c>
    </row>
    <row r="5" ht="18" customHeight="1">
      <c r="A5" s="519" t="inlineStr">
        <is>
          <t>1. CONTEXTO DEL MODELO</t>
        </is>
      </c>
      <c r="B5" s="103" t="n"/>
      <c r="C5" s="103" t="n"/>
      <c r="D5" s="103" t="n"/>
      <c r="E5" s="103" t="n"/>
      <c r="F5" s="103" t="n"/>
      <c r="G5" s="103" t="n"/>
    </row>
    <row r="6">
      <c r="A6" s="520" t="inlineStr">
        <is>
          <t>Horizonte: 60 meses (5 años). Caja inicial: $500,000 USD. Ramp-up lineal de alianzas (12–24 meses según escenario). Segmentación por tamaño de restaurante (Pricing v2.5).</t>
        </is>
      </c>
    </row>
    <row r="8">
      <c r="A8" s="520" t="inlineStr">
        <is>
          <t>Fuentes de Ingresos: SetUp Fee ($500/rest), Entry Fee ($300/rest-marca), SaaS Fee (ARPU ponderado por segmento), Fee Upgrade ($50 × %upgrade), Super Monedas (programa gamificado).</t>
        </is>
      </c>
    </row>
    <row r="10">
      <c r="A10" s="279" t="inlineStr">
        <is>
          <t>Alianzas Estratégicas Contempladas</t>
        </is>
      </c>
    </row>
    <row r="11">
      <c r="A11" s="525" t="inlineStr">
        <is>
          <t>Alianza</t>
        </is>
      </c>
      <c r="B11" s="525" t="inlineStr">
        <is>
          <t>Pipeline</t>
        </is>
      </c>
      <c r="C11" s="525" t="inlineStr">
        <is>
          <t>Mercado</t>
        </is>
      </c>
      <c r="D11" s="525" t="inlineStr">
        <is>
          <t>Descripción</t>
        </is>
      </c>
    </row>
    <row r="12">
      <c r="A12" s="526" t="inlineStr">
        <is>
          <t>Coca-Cola</t>
        </is>
      </c>
      <c r="B12" s="527" t="inlineStr">
        <is>
          <t>5,000 rest.</t>
        </is>
      </c>
      <c r="C12" s="527" t="inlineStr">
        <is>
          <t>Colombia</t>
        </is>
      </c>
      <c r="D12" s="526" t="inlineStr">
        <is>
          <t>Exclusividad confirmada</t>
        </is>
      </c>
    </row>
    <row r="13">
      <c r="A13" s="526" t="inlineStr">
        <is>
          <t>ACODRES</t>
        </is>
      </c>
      <c r="B13" s="527" t="inlineStr">
        <is>
          <t>12,000 rest.</t>
        </is>
      </c>
      <c r="C13" s="527" t="inlineStr">
        <is>
          <t>Colombia</t>
        </is>
      </c>
      <c r="D13" s="526" t="inlineStr">
        <is>
          <t>Gremio de restaurantes</t>
        </is>
      </c>
    </row>
    <row r="14">
      <c r="A14" s="526" t="inlineStr">
        <is>
          <t>Bavaria</t>
        </is>
      </c>
      <c r="B14" s="527" t="inlineStr">
        <is>
          <t>4,500 rest.</t>
        </is>
      </c>
      <c r="C14" s="527" t="inlineStr">
        <is>
          <t>Colombia</t>
        </is>
      </c>
      <c r="D14" s="526" t="inlineStr">
        <is>
          <t>Interés en implementar SM</t>
        </is>
      </c>
    </row>
    <row r="15">
      <c r="A15" s="526" t="inlineStr">
        <is>
          <t>FEMSA Ventures</t>
        </is>
      </c>
      <c r="B15" s="527" t="inlineStr">
        <is>
          <t>50,000 rest.</t>
        </is>
      </c>
      <c r="C15" s="527" t="inlineStr">
        <is>
          <t>México</t>
        </is>
      </c>
      <c r="D15" s="526" t="inlineStr">
        <is>
          <t>Interés en invertir</t>
        </is>
      </c>
    </row>
    <row r="16">
      <c r="A16" s="528" t="inlineStr">
        <is>
          <t>Coca-Cola Florida</t>
        </is>
      </c>
      <c r="B16" s="529" t="inlineStr">
        <is>
          <t>5,000 rest.</t>
        </is>
      </c>
      <c r="C16" s="529" t="inlineStr">
        <is>
          <t>USA</t>
        </is>
      </c>
      <c r="D16" s="528" t="inlineStr">
        <is>
          <t>Piloto → expansión</t>
        </is>
      </c>
    </row>
    <row r="18" ht="18" customHeight="1">
      <c r="A18" s="519" t="inlineStr">
        <is>
          <t>2. DEFINICIÓN DE ESCENARIOS</t>
        </is>
      </c>
      <c r="B18" s="103" t="n"/>
      <c r="C18" s="103" t="n"/>
      <c r="D18" s="103" t="n"/>
      <c r="E18" s="103" t="n"/>
      <c r="F18" s="103" t="n"/>
      <c r="G18" s="103" t="n"/>
    </row>
    <row r="19">
      <c r="A19" s="530" t="inlineStr">
        <is>
          <t>Parámetro</t>
        </is>
      </c>
      <c r="B19" s="531" t="inlineStr">
        <is>
          <t>🔴 Pesimista</t>
        </is>
      </c>
      <c r="C19" s="531" t="inlineStr">
        <is>
          <t>🟡 Base</t>
        </is>
      </c>
      <c r="D19" s="531" t="inlineStr">
        <is>
          <t>🟢 Optimista</t>
        </is>
      </c>
    </row>
    <row r="20">
      <c r="A20" s="532" t="inlineStr">
        <is>
          <t>Alianzas activas</t>
        </is>
      </c>
      <c r="B20" s="533">
        <f>DF140</f>
        <v/>
      </c>
      <c r="C20" s="533">
        <f>DF167</f>
        <v/>
      </c>
      <c r="D20" s="533">
        <f>DF194</f>
        <v/>
      </c>
    </row>
    <row r="21">
      <c r="A21" s="534" t="inlineStr">
        <is>
          <t>Rest/mes por alianza</t>
        </is>
      </c>
      <c r="B21" s="535">
        <f>CHOOSE(1,Escenarios!$D$49)</f>
        <v/>
      </c>
      <c r="C21" s="535">
        <f>CHOOSE(1,Escenarios!$E$49)</f>
        <v/>
      </c>
      <c r="D21" s="535">
        <f>CHOOSE(1,Escenarios!$F$49)</f>
        <v/>
      </c>
    </row>
    <row r="22">
      <c r="A22" s="532" t="inlineStr">
        <is>
          <t>Meses de ramp-up</t>
        </is>
      </c>
      <c r="B22" s="533">
        <f>Escenarios!D51</f>
        <v/>
      </c>
      <c r="C22" s="533">
        <f>Escenarios!E51</f>
        <v/>
      </c>
      <c r="D22" s="533">
        <f>Escenarios!F51</f>
        <v/>
      </c>
    </row>
    <row r="23">
      <c r="A23" s="534" t="inlineStr">
        <is>
          <t>Churn mensual</t>
        </is>
      </c>
      <c r="B23" s="658">
        <f>Escenarios!D17</f>
        <v/>
      </c>
      <c r="C23" s="658">
        <f>Escenarios!E17</f>
        <v/>
      </c>
      <c r="D23" s="658">
        <f>Escenarios!F17</f>
        <v/>
      </c>
    </row>
    <row r="24">
      <c r="A24" s="532" t="inlineStr">
        <is>
          <t>Meseros ponderados/rest</t>
        </is>
      </c>
      <c r="B24" s="537">
        <f>BP140</f>
        <v/>
      </c>
      <c r="C24" s="537">
        <f>BP167</f>
        <v/>
      </c>
      <c r="D24" s="537">
        <f>BP194</f>
        <v/>
      </c>
    </row>
    <row r="25">
      <c r="A25" s="534" t="inlineStr">
        <is>
          <t>ARPU neto ponderado</t>
        </is>
      </c>
      <c r="B25" s="659">
        <f>BS140</f>
        <v/>
      </c>
      <c r="C25" s="659">
        <f>BS167</f>
        <v/>
      </c>
      <c r="D25" s="659">
        <f>BS194</f>
        <v/>
      </c>
    </row>
    <row r="26">
      <c r="A26" s="532" t="inlineStr">
        <is>
          <t>% meseros activos</t>
        </is>
      </c>
      <c r="B26" s="539">
        <f>Escenarios!D18</f>
        <v/>
      </c>
      <c r="C26" s="539">
        <f>Escenarios!E18</f>
        <v/>
      </c>
      <c r="D26" s="539">
        <f>Escenarios!F18</f>
        <v/>
      </c>
    </row>
    <row r="27">
      <c r="A27" s="534" t="inlineStr">
        <is>
          <t>Marcas por restaurante</t>
        </is>
      </c>
      <c r="B27" s="540">
        <f>Escenarios!D21</f>
        <v/>
      </c>
      <c r="C27" s="540">
        <f>Escenarios!E21</f>
        <v/>
      </c>
      <c r="D27" s="540">
        <f>Escenarios!F21</f>
        <v/>
      </c>
    </row>
    <row r="28">
      <c r="A28" s="532" t="inlineStr">
        <is>
          <t>% Restaurantes Pequeños</t>
        </is>
      </c>
      <c r="B28" s="539">
        <f>Escenarios!D28</f>
        <v/>
      </c>
      <c r="C28" s="539">
        <f>Escenarios!E28</f>
        <v/>
      </c>
      <c r="D28" s="539">
        <f>Escenarios!F28</f>
        <v/>
      </c>
    </row>
    <row r="29">
      <c r="A29" s="534" t="inlineStr">
        <is>
          <t>% Restaurantes Medianos</t>
        </is>
      </c>
      <c r="B29" s="541">
        <f>Escenarios!D29</f>
        <v/>
      </c>
      <c r="C29" s="541">
        <f>Escenarios!E29</f>
        <v/>
      </c>
      <c r="D29" s="541">
        <f>Escenarios!F29</f>
        <v/>
      </c>
    </row>
    <row r="30">
      <c r="A30" s="532" t="inlineStr">
        <is>
          <t>% Restaurantes Grandes</t>
        </is>
      </c>
      <c r="B30" s="539">
        <f>Escenarios!D30</f>
        <v/>
      </c>
      <c r="C30" s="539">
        <f>Escenarios!E30</f>
        <v/>
      </c>
      <c r="D30" s="539">
        <f>Escenarios!F30</f>
        <v/>
      </c>
    </row>
    <row r="31">
      <c r="A31" s="534" t="inlineStr">
        <is>
          <t>% Upgrade de Plan</t>
        </is>
      </c>
      <c r="B31" s="541">
        <f>Escenarios!D31</f>
        <v/>
      </c>
      <c r="C31" s="541">
        <f>Escenarios!E31</f>
        <v/>
      </c>
      <c r="D31" s="541">
        <f>Escenarios!F31</f>
        <v/>
      </c>
    </row>
    <row r="32">
      <c r="A32" s="542" t="inlineStr">
        <is>
          <t>OPEX factor</t>
        </is>
      </c>
      <c r="B32" s="660">
        <f>Escenarios!D34</f>
        <v/>
      </c>
      <c r="C32" s="660">
        <f>Escenarios!E34</f>
        <v/>
      </c>
      <c r="D32" s="660">
        <f>Escenarios!F34</f>
        <v/>
      </c>
    </row>
    <row r="34" ht="18" customHeight="1">
      <c r="A34" s="519" t="inlineStr">
        <is>
          <t>3. RESULTADOS FINANCIEROS — COMPARATIVO A 60 MESES</t>
        </is>
      </c>
      <c r="B34" s="103" t="n"/>
      <c r="C34" s="103" t="n"/>
      <c r="D34" s="103" t="n"/>
      <c r="E34" s="103" t="n"/>
      <c r="F34" s="103" t="n"/>
      <c r="G34" s="103" t="n"/>
    </row>
    <row r="35">
      <c r="A35" s="544" t="inlineStr">
        <is>
          <t>Métrica</t>
        </is>
      </c>
      <c r="B35" s="525" t="inlineStr">
        <is>
          <t>🔴 Pesimista</t>
        </is>
      </c>
      <c r="C35" s="525" t="inlineStr">
        <is>
          <t>🟡 Base</t>
        </is>
      </c>
      <c r="D35" s="525" t="inlineStr">
        <is>
          <t>🟢 Optimista</t>
        </is>
      </c>
      <c r="E35" s="525" t="inlineStr">
        <is>
          <t>Ratio Opt/Pes</t>
        </is>
      </c>
    </row>
    <row r="36">
      <c r="A36" s="545" t="inlineStr">
        <is>
          <t>Restaurantes activos (mes 60)</t>
        </is>
      </c>
      <c r="B36" s="546">
        <f>DG140</f>
        <v/>
      </c>
      <c r="C36" s="546">
        <f>DG167</f>
        <v/>
      </c>
      <c r="D36" s="546">
        <f>DG194</f>
        <v/>
      </c>
      <c r="E36" s="661">
        <f>IF(OR(B36&lt;=0,D36&lt;=0),"n.m.",D36/B36)</f>
        <v/>
      </c>
    </row>
    <row r="37">
      <c r="A37" s="548" t="inlineStr">
        <is>
          <t>Ingresos totales (60m)</t>
        </is>
      </c>
      <c r="B37" s="662">
        <f>DH140</f>
        <v/>
      </c>
      <c r="C37" s="662">
        <f>DH167</f>
        <v/>
      </c>
      <c r="D37" s="662">
        <f>DH194</f>
        <v/>
      </c>
      <c r="E37" s="663">
        <f>IF(OR(B37&lt;=0,D37&lt;=0),"n.m.",D37/B37)</f>
        <v/>
      </c>
    </row>
    <row r="38">
      <c r="A38" s="545" t="inlineStr">
        <is>
          <t>Costos directos (60m)</t>
        </is>
      </c>
      <c r="B38" s="664">
        <f>DI140</f>
        <v/>
      </c>
      <c r="C38" s="664">
        <f>DI167</f>
        <v/>
      </c>
      <c r="D38" s="664">
        <f>DI194</f>
        <v/>
      </c>
      <c r="E38" s="661">
        <f>IF(OR(B38&lt;=0,D38&lt;=0),"n.m.",D38/B38)</f>
        <v/>
      </c>
    </row>
    <row r="39">
      <c r="A39" s="534" t="inlineStr">
        <is>
          <t>Utilidad bruta (60m)</t>
        </is>
      </c>
      <c r="B39" s="665">
        <f>DJ140</f>
        <v/>
      </c>
      <c r="C39" s="665">
        <f>DJ167</f>
        <v/>
      </c>
      <c r="D39" s="665">
        <f>DJ194</f>
        <v/>
      </c>
      <c r="E39" s="663">
        <f>IF(OR(B39&lt;=0,D39&lt;=0),"n.m.",D39/B39)</f>
        <v/>
      </c>
    </row>
    <row r="40">
      <c r="A40" s="545" t="inlineStr">
        <is>
          <t>Margen bruto</t>
        </is>
      </c>
      <c r="B40" s="666">
        <f>IF(DH140=0,0,DJ140/DH140)</f>
        <v/>
      </c>
      <c r="C40" s="666">
        <f>IF(DH167=0,0,DJ167/DH167)</f>
        <v/>
      </c>
      <c r="D40" s="666">
        <f>IF(DH194=0,0,DJ194/DH194)</f>
        <v/>
      </c>
      <c r="E40" s="661">
        <f>IF(OR(B40&lt;=0,D40&lt;=0),"n.m.",D40/B40)</f>
        <v/>
      </c>
    </row>
    <row r="41">
      <c r="A41" s="554" t="inlineStr">
        <is>
          <t>EBITDA acumulado (60m)</t>
        </is>
      </c>
      <c r="B41" s="667">
        <f>DK140</f>
        <v/>
      </c>
      <c r="C41" s="667">
        <f>DK167</f>
        <v/>
      </c>
      <c r="D41" s="667">
        <f>DK194</f>
        <v/>
      </c>
      <c r="E41" s="663">
        <f>IF(OR(B41&lt;=0,D41&lt;=0),"n.m.",D41/B41)</f>
        <v/>
      </c>
    </row>
    <row r="42">
      <c r="A42" s="545" t="inlineStr">
        <is>
          <t>Margen EBITDA</t>
        </is>
      </c>
      <c r="B42" s="666">
        <f>IF(DH140=0,0,DK140/DH140)</f>
        <v/>
      </c>
      <c r="C42" s="666">
        <f>IF(DH167=0,0,DK167/DH167)</f>
        <v/>
      </c>
      <c r="D42" s="666">
        <f>IF(DH194=0,0,DK194/DH194)</f>
        <v/>
      </c>
      <c r="E42" s="661">
        <f>IF(OR(B42&lt;=0,D42&lt;=0),"n.m.",D42/B42)</f>
        <v/>
      </c>
    </row>
    <row r="43">
      <c r="A43" s="548" t="inlineStr">
        <is>
          <t>Utilidad neta (60m)</t>
        </is>
      </c>
      <c r="B43" s="668">
        <f>DL140</f>
        <v/>
      </c>
      <c r="C43" s="668">
        <f>DL167</f>
        <v/>
      </c>
      <c r="D43" s="668">
        <f>DL194</f>
        <v/>
      </c>
      <c r="E43" s="663">
        <f>IF(OR(B43&lt;=0,D43&lt;=0),"n.m.",D43/B43)</f>
        <v/>
      </c>
    </row>
    <row r="44">
      <c r="A44" s="545" t="inlineStr">
        <is>
          <t>Margen neto</t>
        </is>
      </c>
      <c r="B44" s="666">
        <f>IF(DH140=0,0,DL140/DH140)</f>
        <v/>
      </c>
      <c r="C44" s="666">
        <f>IF(DH167=0,0,DL167/DH167)</f>
        <v/>
      </c>
      <c r="D44" s="666">
        <f>IF(DH194=0,0,DL194/DH194)</f>
        <v/>
      </c>
      <c r="E44" s="661">
        <f>IF(OR(B44&lt;=0,D44&lt;=0),"n.m.",D44/B44)</f>
        <v/>
      </c>
    </row>
    <row r="45">
      <c r="A45" s="557" t="inlineStr">
        <is>
          <t>Caja final (mes 60)</t>
        </is>
      </c>
      <c r="B45" s="669">
        <f>DM140</f>
        <v/>
      </c>
      <c r="C45" s="669">
        <f>DM167</f>
        <v/>
      </c>
      <c r="D45" s="669">
        <f>DM194</f>
        <v/>
      </c>
      <c r="E45" s="663">
        <f>IF(OR(B45&lt;=0,D45&lt;=0),"n.m.",D45/B45)</f>
        <v/>
      </c>
    </row>
    <row r="46">
      <c r="A46" s="545" t="inlineStr">
        <is>
          <t>ROI sobre $500K</t>
        </is>
      </c>
      <c r="B46" s="670">
        <f>DM140/500000</f>
        <v/>
      </c>
      <c r="C46" s="670">
        <f>DM167/500000</f>
        <v/>
      </c>
      <c r="D46" s="670">
        <f>DM194/500000</f>
        <v/>
      </c>
      <c r="E46" s="661">
        <f>IF(OR(B46&lt;=0,D46&lt;=0),"n.m.",D46/B46)</f>
        <v/>
      </c>
    </row>
    <row r="47">
      <c r="A47" s="548" t="inlineStr">
        <is>
          <t>ARR Año 5</t>
        </is>
      </c>
      <c r="B47" s="662">
        <f>DN140</f>
        <v/>
      </c>
      <c r="C47" s="662">
        <f>DN167</f>
        <v/>
      </c>
      <c r="D47" s="662">
        <f>DN194</f>
        <v/>
      </c>
      <c r="E47" s="663">
        <f>IF(OR(B47&lt;=0,D47&lt;=0),"n.m.",D47/B47)</f>
        <v/>
      </c>
    </row>
    <row r="48">
      <c r="A48" s="545" t="inlineStr">
        <is>
          <t>EBITDA Año 1</t>
        </is>
      </c>
      <c r="B48" s="671">
        <f>DO140</f>
        <v/>
      </c>
      <c r="C48" s="671">
        <f>DO167</f>
        <v/>
      </c>
      <c r="D48" s="671">
        <f>DO194</f>
        <v/>
      </c>
      <c r="E48" s="661">
        <f>IF(OR(B48&lt;=0,D48&lt;=0),"n.m.",D48/B48)</f>
        <v/>
      </c>
    </row>
    <row r="49">
      <c r="A49" s="561" t="inlineStr">
        <is>
          <t>EBITDA Año 5</t>
        </is>
      </c>
      <c r="B49" s="672">
        <f>DP140</f>
        <v/>
      </c>
      <c r="C49" s="672">
        <f>DP167</f>
        <v/>
      </c>
      <c r="D49" s="672">
        <f>DP194</f>
        <v/>
      </c>
      <c r="E49" s="673">
        <f>IF(OR(B49&lt;=0,D49&lt;=0),"n.m.",D49/B49)</f>
        <v/>
      </c>
    </row>
    <row r="50">
      <c r="A50" s="521" t="inlineStr">
        <is>
          <t>→ Los tres escenarios son rentables y generan caja positiva. Revenue Base concilia 1:1 con modelo principal.</t>
        </is>
      </c>
    </row>
    <row r="52">
      <c r="A52" s="305" t="inlineStr">
        <is>
          <t>3.1 UNIT ECONOMICS: ¿QUÉ GENERA CADA RESTAURANTE?</t>
        </is>
      </c>
    </row>
    <row r="53">
      <c r="A53" s="522" t="inlineStr">
        <is>
          <t>Super Meseros monetiza cada restaurante a través de: (1) fees one-time, (2) fees recurrentes por mesero (ARPU ponderado por segmento), (3) Fee Upgrade de plan, y (4) Super Monedas.</t>
        </is>
      </c>
    </row>
    <row r="55">
      <c r="A55" s="59" t="inlineStr">
        <is>
          <t>Parámetros unitarios por escenario</t>
        </is>
      </c>
    </row>
    <row r="56">
      <c r="A56" s="564" t="inlineStr">
        <is>
          <t>Parámetro</t>
        </is>
      </c>
      <c r="B56" s="565" t="inlineStr">
        <is>
          <t>🔴 Pesimista</t>
        </is>
      </c>
      <c r="C56" s="565" t="inlineStr">
        <is>
          <t>🟡 Base</t>
        </is>
      </c>
      <c r="D56" s="565" t="inlineStr">
        <is>
          <t>🟢 Optimista</t>
        </is>
      </c>
    </row>
    <row r="57">
      <c r="A57" s="566" t="inlineStr">
        <is>
          <t>Meseros ponderados por restaurante</t>
        </is>
      </c>
      <c r="B57" s="567">
        <f>BP140</f>
        <v/>
      </c>
      <c r="C57" s="567">
        <f>BP167</f>
        <v/>
      </c>
      <c r="D57" s="567">
        <f>BP194</f>
        <v/>
      </c>
    </row>
    <row r="58">
      <c r="A58" s="568" t="inlineStr">
        <is>
          <t>% de meseros activos</t>
        </is>
      </c>
      <c r="B58" s="541">
        <f>Escenarios!D18</f>
        <v/>
      </c>
      <c r="C58" s="541">
        <f>Escenarios!E18</f>
        <v/>
      </c>
      <c r="D58" s="541">
        <f>Escenarios!F18</f>
        <v/>
      </c>
    </row>
    <row r="59">
      <c r="A59" s="566" t="inlineStr">
        <is>
          <t>Meseros activos por restaurante</t>
        </is>
      </c>
      <c r="B59" s="567">
        <f>BP140*Escenarios!D18</f>
        <v/>
      </c>
      <c r="C59" s="567">
        <f>BP167*Escenarios!E18</f>
        <v/>
      </c>
      <c r="D59" s="567">
        <f>BP194*Escenarios!F18</f>
        <v/>
      </c>
    </row>
    <row r="60">
      <c r="A60" s="568" t="inlineStr">
        <is>
          <t>ARPU neto ponderado (restaurante)</t>
        </is>
      </c>
      <c r="B60" s="659">
        <f>BS140</f>
        <v/>
      </c>
      <c r="C60" s="659">
        <f>BS167</f>
        <v/>
      </c>
      <c r="D60" s="659">
        <f>BS194</f>
        <v/>
      </c>
    </row>
    <row r="61">
      <c r="A61" s="566" t="inlineStr">
        <is>
          <t>ARPU marcas (por mesero)</t>
        </is>
      </c>
      <c r="B61" s="674">
        <f>Escenarios!D20</f>
        <v/>
      </c>
      <c r="C61" s="674">
        <f>Escenarios!E20</f>
        <v/>
      </c>
      <c r="D61" s="674">
        <f>Escenarios!F20</f>
        <v/>
      </c>
    </row>
    <row r="62">
      <c r="A62" s="568" t="inlineStr">
        <is>
          <t>Marcas promedio por restaurante</t>
        </is>
      </c>
      <c r="B62" s="540">
        <f>Escenarios!D21</f>
        <v/>
      </c>
      <c r="C62" s="540">
        <f>Escenarios!E21</f>
        <v/>
      </c>
      <c r="D62" s="540">
        <f>Escenarios!F21</f>
        <v/>
      </c>
    </row>
    <row r="63">
      <c r="A63" s="570" t="inlineStr">
        <is>
          <t>% Upgrade de Plan</t>
        </is>
      </c>
      <c r="B63" s="571">
        <f>Escenarios!D31</f>
        <v/>
      </c>
      <c r="C63" s="571">
        <f>Escenarios!E31</f>
        <v/>
      </c>
      <c r="D63" s="571">
        <f>Escenarios!F31</f>
        <v/>
      </c>
    </row>
    <row r="65">
      <c r="A65" s="59" t="inlineStr">
        <is>
          <t>Ingresos recurrentes mensuales por restaurante activo</t>
        </is>
      </c>
    </row>
    <row r="66">
      <c r="A66" s="564" t="inlineStr">
        <is>
          <t>Concepto</t>
        </is>
      </c>
      <c r="B66" s="565" t="inlineStr">
        <is>
          <t>🔴 Pesimista</t>
        </is>
      </c>
      <c r="C66" s="565" t="inlineStr">
        <is>
          <t>🟡 Base</t>
        </is>
      </c>
      <c r="D66" s="565" t="inlineStr">
        <is>
          <t>🟢 Optimista</t>
        </is>
      </c>
    </row>
    <row r="67">
      <c r="A67" s="566" t="inlineStr">
        <is>
          <t>SaaS Fee Restaurante</t>
        </is>
      </c>
      <c r="B67" s="674">
        <f>BP140*Escenarios!D18*BS140</f>
        <v/>
      </c>
      <c r="C67" s="674">
        <f>BP167*Escenarios!E18*BS167</f>
        <v/>
      </c>
      <c r="D67" s="674">
        <f>BP194*Escenarios!F18*BS194</f>
        <v/>
      </c>
    </row>
    <row r="68">
      <c r="A68" s="568" t="inlineStr">
        <is>
          <t>SaaS Fee Marcas</t>
        </is>
      </c>
      <c r="B68" s="675">
        <f>BP140*Escenarios!D18*Escenarios!D21*Escenarios!D20</f>
        <v/>
      </c>
      <c r="C68" s="675">
        <f>BP167*Escenarios!E18*Escenarios!E21*Escenarios!E20</f>
        <v/>
      </c>
      <c r="D68" s="675">
        <f>BP194*Escenarios!F18*Escenarios!F21*Escenarios!F20</f>
        <v/>
      </c>
    </row>
    <row r="69">
      <c r="A69" s="566" t="inlineStr">
        <is>
          <t>Fee Upgrade de Plan ($50 × %upgrade)</t>
        </is>
      </c>
      <c r="B69" s="674">
        <f>Escenarios!D31*'Supuestos Generales'!B60</f>
        <v/>
      </c>
      <c r="C69" s="674">
        <f>Escenarios!E31*'Supuestos Generales'!B60</f>
        <v/>
      </c>
      <c r="D69" s="674">
        <f>Escenarios!F31*'Supuestos Generales'!B60</f>
        <v/>
      </c>
    </row>
    <row r="70">
      <c r="A70" s="568" t="inlineStr">
        <is>
          <t>Super Monedas Restaurantes (bruto)</t>
        </is>
      </c>
      <c r="B70" s="675">
        <f>BP140*Escenarios!D18*Escenarios!D22</f>
        <v/>
      </c>
      <c r="C70" s="675">
        <f>BP167*Escenarios!E18*Escenarios!E22</f>
        <v/>
      </c>
      <c r="D70" s="675">
        <f>BP194*Escenarios!F18*Escenarios!F22</f>
        <v/>
      </c>
    </row>
    <row r="71">
      <c r="A71" s="566" t="inlineStr">
        <is>
          <t>Super Monedas Marcas (bruto)</t>
        </is>
      </c>
      <c r="B71" s="674">
        <f>BP140*Escenarios!D18*Escenarios!D21*Escenarios!D23</f>
        <v/>
      </c>
      <c r="C71" s="674">
        <f>BP167*Escenarios!E18*Escenarios!E21*Escenarios!E23</f>
        <v/>
      </c>
      <c r="D71" s="674">
        <f>BP194*Escenarios!F18*Escenarios!F21*Escenarios!F23</f>
        <v/>
      </c>
    </row>
    <row r="72">
      <c r="A72" s="554" t="inlineStr">
        <is>
          <t>TOTAL INGRESO RECURRENTE / MES</t>
        </is>
      </c>
      <c r="B72" s="676">
        <f>SUM(B67:B71)</f>
        <v/>
      </c>
      <c r="C72" s="676">
        <f>SUM(C67:C71)</f>
        <v/>
      </c>
      <c r="D72" s="676">
        <f>SUM(D67:D71)</f>
        <v/>
      </c>
    </row>
    <row r="73">
      <c r="A73" s="574" t="inlineStr">
        <is>
          <t>INGRESO ANUALIZADO 1 RESTAURANTE</t>
        </is>
      </c>
      <c r="B73" s="677">
        <f>B72*12</f>
        <v/>
      </c>
      <c r="C73" s="677">
        <f>C72*12</f>
        <v/>
      </c>
      <c r="D73" s="677">
        <f>D72*12</f>
        <v/>
      </c>
    </row>
    <row r="74">
      <c r="A74" s="523">
        <f>"➤ Cada restaurante genera entre "&amp;TEXT(B72,"$#,##0")&amp;" y "&amp;TEXT(D72,"$#,##0")&amp;" mensuales de ingreso recurrente ("&amp;TEXT(B73,"$#,##0")&amp;" a "&amp;TEXT(D73,"$#,##0")&amp;" anualizados)."</f>
        <v/>
      </c>
    </row>
    <row r="76" ht="18" customHeight="1">
      <c r="A76" s="519" t="inlineStr">
        <is>
          <t>4. P&amp;L RESUMIDO POR AÑO (Escenario Activo)</t>
        </is>
      </c>
      <c r="B76" s="519" t="n"/>
      <c r="C76" s="519" t="n"/>
      <c r="D76" s="519" t="n"/>
      <c r="E76" s="519" t="n"/>
      <c r="F76" s="519" t="n"/>
      <c r="G76" s="519" t="n"/>
    </row>
    <row r="77">
      <c r="A77" s="530" t="inlineStr">
        <is>
          <t>Concepto</t>
        </is>
      </c>
      <c r="B77" s="531" t="inlineStr">
        <is>
          <t>Año 1</t>
        </is>
      </c>
      <c r="C77" s="531" t="inlineStr">
        <is>
          <t>Año 2</t>
        </is>
      </c>
      <c r="D77" s="531" t="inlineStr">
        <is>
          <t>Año 3</t>
        </is>
      </c>
      <c r="E77" s="531" t="inlineStr">
        <is>
          <t>Año 4</t>
        </is>
      </c>
      <c r="F77" s="531" t="inlineStr">
        <is>
          <t>Año 5</t>
        </is>
      </c>
      <c r="G77" s="531" t="inlineStr">
        <is>
          <t>Total 60m</t>
        </is>
      </c>
    </row>
    <row r="78">
      <c r="A78" s="576" t="inlineStr">
        <is>
          <t>Ingresos Totales</t>
        </is>
      </c>
      <c r="B78" s="678">
        <f>SUM('Estados Financieros'!B8:M8)</f>
        <v/>
      </c>
      <c r="C78" s="678">
        <f>SUM('Estados Financieros'!N8:Y8)</f>
        <v/>
      </c>
      <c r="D78" s="678">
        <f>SUM('Estados Financieros'!Z8:AK8)</f>
        <v/>
      </c>
      <c r="E78" s="678">
        <f>SUM('Estados Financieros'!AL8:AW8)</f>
        <v/>
      </c>
      <c r="F78" s="678">
        <f>SUM('Estados Financieros'!AX8:BI8)</f>
        <v/>
      </c>
      <c r="G78" s="678">
        <f>'Estados Financieros'!BJ8</f>
        <v/>
      </c>
    </row>
    <row r="79">
      <c r="A79" s="548" t="inlineStr">
        <is>
          <t>Costos Directos</t>
        </is>
      </c>
      <c r="B79" s="662">
        <f>SUM('Estados Financieros'!B11:M11)</f>
        <v/>
      </c>
      <c r="C79" s="662">
        <f>SUM('Estados Financieros'!N11:Y11)</f>
        <v/>
      </c>
      <c r="D79" s="662">
        <f>SUM('Estados Financieros'!Z11:AK11)</f>
        <v/>
      </c>
      <c r="E79" s="662">
        <f>SUM('Estados Financieros'!AL11:AW11)</f>
        <v/>
      </c>
      <c r="F79" s="662">
        <f>SUM('Estados Financieros'!AX11:BI11)</f>
        <v/>
      </c>
      <c r="G79" s="662">
        <f>'Estados Financieros'!BJ11</f>
        <v/>
      </c>
    </row>
    <row r="80">
      <c r="A80" s="578" t="inlineStr">
        <is>
          <t>Utilidad Bruta</t>
        </is>
      </c>
      <c r="B80" s="679">
        <f>B78-B79</f>
        <v/>
      </c>
      <c r="C80" s="679">
        <f>C78-C79</f>
        <v/>
      </c>
      <c r="D80" s="679">
        <f>D78-D79</f>
        <v/>
      </c>
      <c r="E80" s="679">
        <f>E78-E79</f>
        <v/>
      </c>
      <c r="F80" s="679">
        <f>F78-F79</f>
        <v/>
      </c>
      <c r="G80" s="679">
        <f>G78-G79</f>
        <v/>
      </c>
    </row>
    <row r="81">
      <c r="A81" s="548" t="inlineStr">
        <is>
          <t>Margen Bruto</t>
        </is>
      </c>
      <c r="B81" s="680">
        <f>IF(B78=0,0,B80/B78)</f>
        <v/>
      </c>
      <c r="C81" s="680">
        <f>IF(C78=0,0,C80/C78)</f>
        <v/>
      </c>
      <c r="D81" s="680">
        <f>IF(D78=0,0,D80/D78)</f>
        <v/>
      </c>
      <c r="E81" s="680">
        <f>IF(E78=0,0,E80/E78)</f>
        <v/>
      </c>
      <c r="F81" s="680">
        <f>IF(F78=0,0,F80/F78)</f>
        <v/>
      </c>
      <c r="G81" s="680">
        <f>IF(G78=0,0,G80/G78)</f>
        <v/>
      </c>
    </row>
    <row r="82" hidden="1">
      <c r="A82" s="576" t="inlineStr">
        <is>
          <t>CAC y GTM</t>
        </is>
      </c>
      <c r="B82" s="678">
        <f>SUM('Estados Financieros'!B16:M16)</f>
        <v/>
      </c>
      <c r="C82" s="678">
        <f>SUM('Estados Financieros'!N16:Y16)</f>
        <v/>
      </c>
      <c r="D82" s="678">
        <f>SUM('Estados Financieros'!Z16:AK16)</f>
        <v/>
      </c>
      <c r="E82" s="678">
        <f>SUM('Estados Financieros'!AL16:AW16)</f>
        <v/>
      </c>
      <c r="F82" s="678">
        <f>SUM('Estados Financieros'!AX16:BI16)</f>
        <v/>
      </c>
      <c r="G82" s="678">
        <f>'Estados Financieros'!BJ16</f>
        <v/>
      </c>
    </row>
    <row r="83" hidden="1">
      <c r="A83" s="548" t="inlineStr">
        <is>
          <t>OPEX Fijo</t>
        </is>
      </c>
      <c r="B83" s="662">
        <f>SUM('Estados Financieros'!B21:M21)</f>
        <v/>
      </c>
      <c r="C83" s="662">
        <f>SUM('Estados Financieros'!N21:Y21)</f>
        <v/>
      </c>
      <c r="D83" s="662">
        <f>SUM('Estados Financieros'!Z21:AK21)</f>
        <v/>
      </c>
      <c r="E83" s="662">
        <f>SUM('Estados Financieros'!AL21:AW21)</f>
        <v/>
      </c>
      <c r="F83" s="662">
        <f>SUM('Estados Financieros'!AX21:BI21)</f>
        <v/>
      </c>
      <c r="G83" s="662">
        <f>'Estados Financieros'!BJ21</f>
        <v/>
      </c>
    </row>
    <row r="84" hidden="1">
      <c r="A84" s="581" t="inlineStr">
        <is>
          <t>EBITDA</t>
        </is>
      </c>
      <c r="B84" s="681">
        <f>SUM('Estados Financieros'!B22:M22)</f>
        <v/>
      </c>
      <c r="C84" s="681">
        <f>SUM('Estados Financieros'!N22:Y22)</f>
        <v/>
      </c>
      <c r="D84" s="681">
        <f>SUM('Estados Financieros'!Z22:AK22)</f>
        <v/>
      </c>
      <c r="E84" s="681">
        <f>SUM('Estados Financieros'!AL22:AW22)</f>
        <v/>
      </c>
      <c r="F84" s="681">
        <f>SUM('Estados Financieros'!AX22:BI22)</f>
        <v/>
      </c>
      <c r="G84" s="681">
        <f>'Estados Financieros'!BJ22</f>
        <v/>
      </c>
    </row>
    <row r="85">
      <c r="A85" s="592" t="n"/>
      <c r="B85" s="682" t="n"/>
      <c r="C85" s="682" t="n"/>
      <c r="D85" s="682" t="n"/>
      <c r="E85" s="682" t="n"/>
      <c r="F85" s="682" t="n"/>
      <c r="G85" s="682" t="n"/>
    </row>
    <row r="86" ht="18" customHeight="1">
      <c r="A86" s="519" t="inlineStr">
        <is>
          <t>5. ARR POR AÑO — 3 ESCENARIOS</t>
        </is>
      </c>
      <c r="B86" s="683" t="n"/>
      <c r="C86" s="683" t="n"/>
      <c r="D86" s="683" t="n"/>
      <c r="E86" s="683" t="n"/>
      <c r="F86" s="683" t="n"/>
      <c r="G86" s="683" t="n"/>
    </row>
    <row r="87">
      <c r="A87" s="597" t="inlineStr">
        <is>
          <t>Año</t>
        </is>
      </c>
      <c r="B87" s="684" t="inlineStr">
        <is>
          <t>🔴 Pesimista</t>
        </is>
      </c>
      <c r="C87" s="684" t="inlineStr">
        <is>
          <t>🟡 Base</t>
        </is>
      </c>
      <c r="D87" s="684" t="inlineStr">
        <is>
          <t>🟢 Optimista</t>
        </is>
      </c>
      <c r="E87" s="682" t="n"/>
      <c r="F87" s="682" t="n"/>
      <c r="G87" s="682" t="n"/>
    </row>
    <row r="88">
      <c r="A88" s="74" t="inlineStr">
        <is>
          <t>Año 1</t>
        </is>
      </c>
      <c r="B88" s="685">
        <f>(INDEX(B154:BI154,12)-INDEX(B150:BI150,12))*12</f>
        <v/>
      </c>
      <c r="C88" s="685">
        <f>(INDEX(B181:BI181,12)-INDEX(B177:BI177,12))*12</f>
        <v/>
      </c>
      <c r="D88" s="685">
        <f>(INDEX(B208:BI208,12)-INDEX(B204:BI204,12))*12</f>
        <v/>
      </c>
      <c r="E88" s="682" t="n"/>
      <c r="F88" s="682" t="n"/>
      <c r="G88" s="682" t="n"/>
    </row>
    <row r="89">
      <c r="A89" s="600" t="inlineStr">
        <is>
          <t>Año 2</t>
        </is>
      </c>
      <c r="B89" s="686">
        <f>(INDEX(B154:BI154,24)-INDEX(B150:BI150,24))*12</f>
        <v/>
      </c>
      <c r="C89" s="686">
        <f>(INDEX(B181:BI181,24)-INDEX(B177:BI177,24))*12</f>
        <v/>
      </c>
      <c r="D89" s="686">
        <f>(INDEX(B208:BI208,24)-INDEX(B204:BI204,24))*12</f>
        <v/>
      </c>
      <c r="E89" s="682" t="n"/>
      <c r="F89" s="682" t="n"/>
      <c r="G89" s="682" t="n"/>
    </row>
    <row r="90">
      <c r="A90" s="74" t="inlineStr">
        <is>
          <t>Año 3</t>
        </is>
      </c>
      <c r="B90" s="685">
        <f>(INDEX(B154:BI154,36)-INDEX(B150:BI150,36))*12</f>
        <v/>
      </c>
      <c r="C90" s="685">
        <f>(INDEX(B181:BI181,36)-INDEX(B177:BI177,36))*12</f>
        <v/>
      </c>
      <c r="D90" s="685">
        <f>(INDEX(B208:BI208,36)-INDEX(B204:BI204,36))*12</f>
        <v/>
      </c>
      <c r="E90" s="682" t="n"/>
      <c r="F90" s="682" t="n"/>
      <c r="G90" s="682" t="n"/>
    </row>
    <row r="91">
      <c r="A91" s="600" t="inlineStr">
        <is>
          <t>Año 4</t>
        </is>
      </c>
      <c r="B91" s="686">
        <f>(INDEX(B154:BI154,48)-INDEX(B150:BI150,48))*12</f>
        <v/>
      </c>
      <c r="C91" s="686">
        <f>(INDEX(B181:BI181,48)-INDEX(B177:BI177,48))*12</f>
        <v/>
      </c>
      <c r="D91" s="686">
        <f>(INDEX(B208:BI208,48)-INDEX(B204:BI204,48))*12</f>
        <v/>
      </c>
      <c r="E91" s="682" t="n"/>
      <c r="F91" s="682" t="n"/>
      <c r="G91" s="682" t="n"/>
    </row>
    <row r="92">
      <c r="A92" s="74" t="inlineStr">
        <is>
          <t>Año 5</t>
        </is>
      </c>
      <c r="B92" s="685">
        <f>(INDEX(B154:BI154,60)-INDEX(B150:BI150,60))*12</f>
        <v/>
      </c>
      <c r="C92" s="685">
        <f>(INDEX(B181:BI181,60)-INDEX(B177:BI177,60))*12</f>
        <v/>
      </c>
      <c r="D92" s="685">
        <f>(INDEX(B208:BI208,60)-INDEX(B204:BI204,60))*12</f>
        <v/>
      </c>
      <c r="E92" s="682" t="n"/>
      <c r="F92" s="682" t="n"/>
      <c r="G92" s="682" t="n"/>
    </row>
    <row r="93">
      <c r="A93" s="603" t="inlineStr">
        <is>
          <t>ARR = Ingreso recurrente del último mes del año × 12. Incluye SaaS fees + Fee Upgrade + Super Monedas.</t>
        </is>
      </c>
      <c r="B93" s="682" t="n"/>
      <c r="C93" s="682" t="n"/>
      <c r="D93" s="682" t="n"/>
      <c r="E93" s="682" t="n"/>
      <c r="F93" s="682" t="n"/>
      <c r="G93" s="682" t="n"/>
    </row>
    <row r="94">
      <c r="A94" s="592" t="n"/>
      <c r="B94" s="682" t="n"/>
      <c r="C94" s="682" t="n"/>
      <c r="D94" s="682" t="n"/>
      <c r="E94" s="682" t="n"/>
      <c r="F94" s="682" t="n"/>
      <c r="G94" s="682" t="n"/>
    </row>
    <row r="95" ht="18" customHeight="1">
      <c r="A95" s="519" t="inlineStr">
        <is>
          <t>6. EBITDA ANUAL — 3 ESCENARIOS</t>
        </is>
      </c>
      <c r="B95" s="683" t="n"/>
      <c r="C95" s="683" t="n"/>
      <c r="D95" s="683" t="n"/>
      <c r="E95" s="683" t="n"/>
      <c r="F95" s="683" t="n"/>
      <c r="G95" s="683" t="n"/>
    </row>
    <row r="96">
      <c r="A96" s="597" t="inlineStr">
        <is>
          <t>Año</t>
        </is>
      </c>
      <c r="B96" s="684" t="inlineStr">
        <is>
          <t>🔴 Pesimista</t>
        </is>
      </c>
      <c r="C96" s="684" t="inlineStr">
        <is>
          <t>🟡 Base</t>
        </is>
      </c>
      <c r="D96" s="684" t="inlineStr">
        <is>
          <t>🟢 Optimista</t>
        </is>
      </c>
      <c r="E96" s="682" t="n"/>
      <c r="F96" s="682" t="n"/>
      <c r="G96" s="682" t="n"/>
    </row>
    <row r="97">
      <c r="A97" s="74" t="inlineStr">
        <is>
          <t>Año 1</t>
        </is>
      </c>
      <c r="B97" s="687">
        <f>SUM(C163:N163)</f>
        <v/>
      </c>
      <c r="C97" s="687">
        <f>SUM(C190:N190)</f>
        <v/>
      </c>
      <c r="D97" s="687">
        <f>SUM(C217:N217)</f>
        <v/>
      </c>
      <c r="E97" s="682" t="n"/>
      <c r="F97" s="682" t="n"/>
      <c r="G97" s="682" t="n"/>
    </row>
    <row r="98">
      <c r="A98" s="600" t="inlineStr">
        <is>
          <t>Año 2</t>
        </is>
      </c>
      <c r="B98" s="688">
        <f>SUM(O163:Z163)</f>
        <v/>
      </c>
      <c r="C98" s="688">
        <f>SUM(O190:Z190)</f>
        <v/>
      </c>
      <c r="D98" s="688">
        <f>SUM(O217:Z217)</f>
        <v/>
      </c>
      <c r="E98" s="682" t="n"/>
      <c r="F98" s="682" t="n"/>
      <c r="G98" s="682" t="n"/>
    </row>
    <row r="99">
      <c r="A99" s="74" t="inlineStr">
        <is>
          <t>Año 3</t>
        </is>
      </c>
      <c r="B99" s="687">
        <f>SUM(AA163:AL163)</f>
        <v/>
      </c>
      <c r="C99" s="687">
        <f>SUM(AA190:AL190)</f>
        <v/>
      </c>
      <c r="D99" s="687">
        <f>SUM(AA217:AL217)</f>
        <v/>
      </c>
      <c r="E99" s="682" t="n"/>
      <c r="F99" s="682" t="n"/>
      <c r="G99" s="682" t="n"/>
    </row>
    <row r="100">
      <c r="A100" s="600" t="inlineStr">
        <is>
          <t>Año 4</t>
        </is>
      </c>
      <c r="B100" s="688">
        <f>SUM(AM163:AX163)</f>
        <v/>
      </c>
      <c r="C100" s="688">
        <f>SUM(AM190:AX190)</f>
        <v/>
      </c>
      <c r="D100" s="688">
        <f>SUM(AM217:AX217)</f>
        <v/>
      </c>
      <c r="E100" s="682" t="n"/>
      <c r="F100" s="682" t="n"/>
      <c r="G100" s="682" t="n"/>
    </row>
    <row r="101">
      <c r="A101" s="74" t="inlineStr">
        <is>
          <t>Año 5</t>
        </is>
      </c>
      <c r="B101" s="687">
        <f>SUM(AY163:BJ163)</f>
        <v/>
      </c>
      <c r="C101" s="687">
        <f>SUM(AY190:BJ190)</f>
        <v/>
      </c>
      <c r="D101" s="687">
        <f>SUM(AY217:BJ217)</f>
        <v/>
      </c>
      <c r="E101" s="682" t="n"/>
      <c r="F101" s="682" t="n"/>
      <c r="G101" s="682" t="n"/>
    </row>
    <row r="102">
      <c r="A102" s="592" t="n"/>
      <c r="B102" s="682" t="n"/>
      <c r="C102" s="682" t="n"/>
      <c r="D102" s="682" t="n"/>
      <c r="E102" s="682" t="n"/>
      <c r="F102" s="682" t="n"/>
      <c r="G102" s="682" t="n"/>
    </row>
    <row r="103" ht="18" customHeight="1">
      <c r="A103" s="519" t="inlineStr">
        <is>
          <t>7. MÉTRICAS CLAVE PARA VALUACIÓN</t>
        </is>
      </c>
      <c r="B103" s="683" t="n"/>
      <c r="C103" s="683" t="n"/>
      <c r="D103" s="683" t="n"/>
      <c r="E103" s="683" t="n"/>
      <c r="F103" s="683" t="n"/>
      <c r="G103" s="683" t="n"/>
    </row>
    <row r="104">
      <c r="A104" s="604" t="inlineStr">
        <is>
          <t>Rondas pre-seed/seed en LATAM SaaS: 0.5x–3x ARR (sin tracción), 3x–8x ARR (con tracción + anchor investor).</t>
        </is>
      </c>
      <c r="B104" s="682" t="n"/>
      <c r="C104" s="682" t="n"/>
      <c r="D104" s="682" t="n"/>
      <c r="E104" s="682" t="n"/>
      <c r="F104" s="682" t="n"/>
      <c r="G104" s="682" t="n"/>
    </row>
    <row r="105">
      <c r="A105" s="592" t="n"/>
      <c r="B105" s="682" t="n"/>
      <c r="C105" s="682" t="n"/>
      <c r="D105" s="682" t="n"/>
      <c r="E105" s="682" t="n"/>
      <c r="F105" s="682" t="n"/>
      <c r="G105" s="682" t="n"/>
    </row>
    <row r="106">
      <c r="A106" s="597" t="inlineStr">
        <is>
          <t>Métrica</t>
        </is>
      </c>
      <c r="B106" s="684" t="inlineStr">
        <is>
          <t>🔴 Pesimista</t>
        </is>
      </c>
      <c r="C106" s="684" t="inlineStr">
        <is>
          <t>🟡 Base</t>
        </is>
      </c>
      <c r="D106" s="684" t="inlineStr">
        <is>
          <t>🟢 Optimista</t>
        </is>
      </c>
      <c r="E106" s="682" t="n"/>
      <c r="F106" s="682" t="n"/>
      <c r="G106" s="682" t="n"/>
    </row>
    <row r="107">
      <c r="A107" s="605" t="inlineStr">
        <is>
          <t>ARR Año 1</t>
        </is>
      </c>
      <c r="B107" s="689">
        <f>B88</f>
        <v/>
      </c>
      <c r="C107" s="689">
        <f>C88</f>
        <v/>
      </c>
      <c r="D107" s="689">
        <f>D88</f>
        <v/>
      </c>
      <c r="E107" s="682" t="n"/>
      <c r="F107" s="682" t="n"/>
      <c r="G107" s="682" t="n"/>
    </row>
    <row r="108">
      <c r="A108" s="608" t="inlineStr">
        <is>
          <t>ARR Año 2</t>
        </is>
      </c>
      <c r="B108" s="690">
        <f>B89</f>
        <v/>
      </c>
      <c r="C108" s="690">
        <f>C89</f>
        <v/>
      </c>
      <c r="D108" s="690">
        <f>D89</f>
        <v/>
      </c>
      <c r="E108" s="682" t="n"/>
      <c r="F108" s="682" t="n"/>
      <c r="G108" s="682" t="n"/>
    </row>
    <row r="109">
      <c r="A109" s="611" t="inlineStr">
        <is>
          <t>Valuación @ 1x ARR Año 2</t>
        </is>
      </c>
      <c r="B109" s="691">
        <f>B89</f>
        <v/>
      </c>
      <c r="C109" s="691">
        <f>C89</f>
        <v/>
      </c>
      <c r="D109" s="691">
        <f>D89</f>
        <v/>
      </c>
      <c r="E109" s="682" t="n"/>
      <c r="F109" s="682" t="n"/>
      <c r="G109" s="682" t="n"/>
    </row>
    <row r="110">
      <c r="A110" s="608" t="inlineStr">
        <is>
          <t>Valuación @ 3x ARR Año 1</t>
        </is>
      </c>
      <c r="B110" s="690">
        <f>B88*3</f>
        <v/>
      </c>
      <c r="C110" s="690">
        <f>C88*3</f>
        <v/>
      </c>
      <c r="D110" s="690">
        <f>D88*3</f>
        <v/>
      </c>
      <c r="E110" s="682" t="n"/>
      <c r="F110" s="682" t="n"/>
      <c r="G110" s="682" t="n"/>
    </row>
    <row r="111">
      <c r="A111" s="611" t="inlineStr">
        <is>
          <t>Valuación @ 5x ARR Año 1</t>
        </is>
      </c>
      <c r="B111" s="691">
        <f>B88*5</f>
        <v/>
      </c>
      <c r="C111" s="691">
        <f>C88*5</f>
        <v/>
      </c>
      <c r="D111" s="691">
        <f>D88*5</f>
        <v/>
      </c>
      <c r="E111" s="682" t="n"/>
      <c r="F111" s="682" t="n"/>
      <c r="G111" s="682" t="n"/>
    </row>
    <row r="112">
      <c r="A112" s="608" t="inlineStr">
        <is>
          <t>EBITDA Año 2</t>
        </is>
      </c>
      <c r="B112" s="692">
        <f>B98</f>
        <v/>
      </c>
      <c r="C112" s="692">
        <f>C98</f>
        <v/>
      </c>
      <c r="D112" s="692">
        <f>D98</f>
        <v/>
      </c>
      <c r="E112" s="682" t="n"/>
      <c r="F112" s="682" t="n"/>
      <c r="G112" s="682" t="n"/>
    </row>
    <row r="113">
      <c r="A113" s="611" t="inlineStr">
        <is>
          <t>Valuación @ 10x EBITDA Año 2</t>
        </is>
      </c>
      <c r="B113" s="693">
        <f>B98*10</f>
        <v/>
      </c>
      <c r="C113" s="693">
        <f>C98*10</f>
        <v/>
      </c>
      <c r="D113" s="693">
        <f>D98*10</f>
        <v/>
      </c>
      <c r="E113" s="682" t="n"/>
      <c r="F113" s="682" t="n"/>
      <c r="G113" s="682" t="n"/>
    </row>
    <row r="114">
      <c r="A114" s="592" t="n"/>
      <c r="B114" s="682" t="n"/>
      <c r="C114" s="682" t="n"/>
      <c r="D114" s="682" t="n"/>
      <c r="E114" s="682" t="n"/>
      <c r="F114" s="682" t="n"/>
      <c r="G114" s="682" t="n"/>
    </row>
    <row r="115">
      <c r="A115" s="592" t="n"/>
      <c r="B115" s="682" t="n"/>
      <c r="C115" s="682" t="n"/>
      <c r="D115" s="682" t="n"/>
      <c r="E115" s="682" t="n"/>
      <c r="F115" s="682" t="n"/>
      <c r="G115" s="682" t="n"/>
    </row>
    <row r="116" ht="18" customHeight="1">
      <c r="A116" s="519" t="inlineStr">
        <is>
          <t>8. CRECIMIENTO DE RESTAURANTES POR AÑO (Escenario Activo)</t>
        </is>
      </c>
      <c r="B116" s="683" t="n"/>
      <c r="C116" s="683" t="n"/>
      <c r="D116" s="683" t="n"/>
      <c r="E116" s="683" t="n"/>
      <c r="F116" s="683" t="n"/>
      <c r="G116" s="683" t="n"/>
    </row>
    <row r="117">
      <c r="A117" s="597" t="inlineStr">
        <is>
          <t>Concepto</t>
        </is>
      </c>
      <c r="B117" s="684" t="inlineStr">
        <is>
          <t>Año 1</t>
        </is>
      </c>
      <c r="C117" s="684" t="inlineStr">
        <is>
          <t>Año 2</t>
        </is>
      </c>
      <c r="D117" s="684" t="inlineStr">
        <is>
          <t>Año 3</t>
        </is>
      </c>
      <c r="E117" s="684" t="inlineStr">
        <is>
          <t>Año 4</t>
        </is>
      </c>
      <c r="F117" s="684" t="inlineStr">
        <is>
          <t>Año 5</t>
        </is>
      </c>
      <c r="G117" s="682" t="n"/>
    </row>
    <row r="118">
      <c r="A118" s="613" t="inlineStr">
        <is>
          <t>Nuevos directos</t>
        </is>
      </c>
      <c r="B118" s="614">
        <f>SUM(Onboarding!B6:M6)</f>
        <v/>
      </c>
      <c r="C118" s="614">
        <f>SUM(Onboarding!N6:Y6)</f>
        <v/>
      </c>
      <c r="D118" s="614">
        <f>SUM(Onboarding!Z6:AK6)</f>
        <v/>
      </c>
      <c r="E118" s="614">
        <f>SUM(Onboarding!AL6:AW6)</f>
        <v/>
      </c>
      <c r="F118" s="614">
        <f>SUM(Onboarding!AX6:BI6)</f>
        <v/>
      </c>
      <c r="G118" s="682" t="n"/>
    </row>
    <row r="119">
      <c r="A119" s="608" t="inlineStr">
        <is>
          <t>Nuevos vía alianzas</t>
        </is>
      </c>
      <c r="B119" s="615">
        <f>SUM(Onboarding!B9:M9)</f>
        <v/>
      </c>
      <c r="C119" s="615">
        <f>SUM(Onboarding!N9:Y9)</f>
        <v/>
      </c>
      <c r="D119" s="615">
        <f>SUM(Onboarding!Z9:AK9)</f>
        <v/>
      </c>
      <c r="E119" s="615">
        <f>SUM(Onboarding!AL9:AW9)</f>
        <v/>
      </c>
      <c r="F119" s="615">
        <f>SUM(Onboarding!AX9:BI9)</f>
        <v/>
      </c>
      <c r="G119" s="682" t="n"/>
    </row>
    <row r="120">
      <c r="A120" s="613" t="inlineStr">
        <is>
          <t>Referidos</t>
        </is>
      </c>
      <c r="B120" s="614">
        <f>SUM(Onboarding!B7:M7)+SUM(Onboarding!B8:M8)</f>
        <v/>
      </c>
      <c r="C120" s="614">
        <f>SUM(Onboarding!N7:Y7)+SUM(Onboarding!N8:Y8)</f>
        <v/>
      </c>
      <c r="D120" s="614">
        <f>SUM(Onboarding!Z7:AK7)+SUM(Onboarding!Z8:AK8)</f>
        <v/>
      </c>
      <c r="E120" s="614">
        <f>SUM(Onboarding!AL7:AW7)+SUM(Onboarding!AL8:AW8)</f>
        <v/>
      </c>
      <c r="F120" s="614">
        <f>SUM(Onboarding!AX7:BI7)+SUM(Onboarding!AX8:BI8)</f>
        <v/>
      </c>
      <c r="G120" s="682" t="n"/>
    </row>
    <row r="121">
      <c r="A121" s="616" t="inlineStr">
        <is>
          <t>Rest. activos (fin año)</t>
        </is>
      </c>
      <c r="B121" s="617">
        <f>Onboarding!M12</f>
        <v/>
      </c>
      <c r="C121" s="617">
        <f>Onboarding!Y12</f>
        <v/>
      </c>
      <c r="D121" s="617">
        <f>Onboarding!AK12</f>
        <v/>
      </c>
      <c r="E121" s="617">
        <f>Onboarding!AW12</f>
        <v/>
      </c>
      <c r="F121" s="617">
        <f>Onboarding!BI12</f>
        <v/>
      </c>
      <c r="G121" s="682" t="n"/>
    </row>
    <row r="122">
      <c r="A122" s="592" t="n"/>
      <c r="B122" s="682" t="n"/>
      <c r="C122" s="682" t="n"/>
      <c r="D122" s="682" t="n"/>
      <c r="E122" s="682" t="n"/>
      <c r="F122" s="682" t="n"/>
      <c r="G122" s="682" t="n"/>
    </row>
    <row r="123">
      <c r="A123" s="592" t="n"/>
      <c r="B123" s="682" t="n"/>
      <c r="C123" s="682" t="n"/>
      <c r="D123" s="682" t="n"/>
      <c r="E123" s="682" t="n"/>
      <c r="F123" s="682" t="n"/>
      <c r="G123" s="682" t="n"/>
    </row>
    <row r="124" ht="18" customHeight="1">
      <c r="A124" s="519" t="inlineStr">
        <is>
          <t>9. ANÁLISIS POR ESCENARIO</t>
        </is>
      </c>
      <c r="B124" s="683" t="n"/>
      <c r="C124" s="683" t="n"/>
      <c r="D124" s="683" t="n"/>
      <c r="E124" s="683" t="n"/>
      <c r="F124" s="683" t="n"/>
      <c r="G124" s="683" t="n"/>
    </row>
    <row r="125">
      <c r="A125" s="592" t="n"/>
      <c r="B125" s="682" t="n"/>
      <c r="C125" s="682" t="n"/>
      <c r="D125" s="682" t="n"/>
      <c r="E125" s="682" t="n"/>
      <c r="F125" s="682" t="n"/>
      <c r="G125" s="682" t="n"/>
    </row>
    <row r="126">
      <c r="A126" s="619" t="inlineStr">
        <is>
          <t>🔴 Escenario PESIMISTA — "Solo con ACODRES"</t>
        </is>
      </c>
      <c r="B126" s="682" t="n"/>
      <c r="C126" s="682" t="n"/>
      <c r="D126" s="682" t="n"/>
      <c r="E126" s="682" t="n"/>
      <c r="F126" s="682" t="n"/>
      <c r="G126" s="682" t="n"/>
    </row>
    <row r="127">
      <c r="A127" s="620">
        <f>"• "&amp;DF140&amp;". Ramp-up: "&amp;TEXT(CM140,"0")&amp;" meses. Caja final: "&amp;TEXT(DM140,"$#,##0")&amp;". ARR Año 5: "&amp;TEXT(DN140,"$#,##0")&amp;". EBITDA 60m: "&amp;TEXT(DK140,"$#,##0")&amp;". Incluso en el peor caso, la inversión se preserva."</f>
        <v/>
      </c>
      <c r="B127" s="682" t="n"/>
      <c r="C127" s="682" t="n"/>
      <c r="D127" s="682" t="n"/>
      <c r="E127" s="682" t="n"/>
      <c r="F127" s="682" t="n"/>
      <c r="G127" s="682" t="n"/>
    </row>
    <row r="128">
      <c r="A128" s="592" t="n"/>
      <c r="B128" s="682" t="n"/>
      <c r="C128" s="682" t="n"/>
      <c r="D128" s="682" t="n"/>
      <c r="E128" s="682" t="n"/>
      <c r="F128" s="682" t="n"/>
      <c r="G128" s="682" t="n"/>
    </row>
    <row r="129">
      <c r="A129" s="621" t="inlineStr">
        <is>
          <t>🟡 Escenario BASE — "CC + ACODRES"</t>
        </is>
      </c>
      <c r="B129" s="682" t="n"/>
      <c r="C129" s="682" t="n"/>
      <c r="D129" s="682" t="n"/>
      <c r="E129" s="682" t="n"/>
      <c r="F129" s="682" t="n"/>
      <c r="G129" s="682" t="n"/>
    </row>
    <row r="130">
      <c r="A130" s="620">
        <f>"• "&amp;DF167&amp;". Ramp-up: "&amp;TEXT(CM167,"0")&amp;" meses. Caja final: "&amp;TEXT(DM167,"$#,##0")&amp;". ARR Año 5: "&amp;TEXT(DN167,"$#,##0")&amp;". EBITDA 60m: "&amp;TEXT(DK167,"$#,##0")&amp;". ROI: "&amp;TEXT(DM167/500000,"0.0")&amp;"x sobre $500K."</f>
        <v/>
      </c>
      <c r="B130" s="682" t="n"/>
      <c r="C130" s="682" t="n"/>
      <c r="D130" s="682" t="n"/>
      <c r="E130" s="682" t="n"/>
      <c r="F130" s="682" t="n"/>
      <c r="G130" s="682" t="n"/>
    </row>
    <row r="131">
      <c r="A131" s="592" t="n"/>
      <c r="B131" s="682" t="n"/>
      <c r="C131" s="682" t="n"/>
      <c r="D131" s="682" t="n"/>
      <c r="E131" s="682" t="n"/>
      <c r="F131" s="682" t="n"/>
      <c r="G131" s="682" t="n"/>
    </row>
    <row r="132">
      <c r="A132" s="618" t="inlineStr">
        <is>
          <t>🟢 Escenario OPTIMISTA — "Todas las alianzas"</t>
        </is>
      </c>
      <c r="B132" s="682" t="n"/>
      <c r="C132" s="682" t="n"/>
      <c r="D132" s="682" t="n"/>
      <c r="E132" s="682" t="n"/>
      <c r="F132" s="682" t="n"/>
      <c r="G132" s="682" t="n"/>
    </row>
    <row r="133">
      <c r="A133" s="620">
        <f>"• "&amp;DF194&amp;". Ramp-up: "&amp;TEXT(CM194,"0")&amp;" meses. Caja final: "&amp;TEXT(DM194,"$#,##0")&amp;". ARR Año 5: "&amp;TEXT(DN194,"$#,##0")&amp;". EBITDA 60m: "&amp;TEXT(DK194,"$#,##0")&amp;". Hiper-crecimiento en 3 mercados."</f>
        <v/>
      </c>
      <c r="B133" s="682" t="n"/>
      <c r="C133" s="682" t="n"/>
      <c r="D133" s="682" t="n"/>
      <c r="E133" s="682" t="n"/>
      <c r="F133" s="682" t="n"/>
      <c r="G133" s="682" t="n"/>
    </row>
    <row r="134">
      <c r="A134" s="592" t="n"/>
      <c r="B134" s="682" t="n"/>
      <c r="C134" s="682" t="n"/>
      <c r="D134" s="682" t="n"/>
      <c r="E134" s="682" t="n"/>
      <c r="F134" s="682" t="n"/>
      <c r="G134" s="682" t="n"/>
    </row>
    <row r="135">
      <c r="A135" s="603" t="inlineStr">
        <is>
          <t>Modelo v4.0 con segmentación por tamaño (Pricing v2.5) y ramp-up lineal. Datos dinámicos. Para simulaciones, modificar Escenarios!B4.</t>
        </is>
      </c>
      <c r="B135" s="682" t="n"/>
      <c r="C135" s="682" t="n"/>
      <c r="D135" s="682" t="n"/>
      <c r="E135" s="682" t="n"/>
      <c r="F135" s="682" t="n"/>
      <c r="G135" s="682" t="n"/>
    </row>
    <row r="136">
      <c r="A136" s="592" t="n"/>
      <c r="B136" s="682" t="n"/>
      <c r="C136" s="682" t="n"/>
      <c r="D136" s="682" t="n"/>
      <c r="E136" s="682" t="n"/>
      <c r="F136" s="682" t="n"/>
      <c r="G136" s="682" t="n"/>
    </row>
    <row r="137">
      <c r="A137" s="592" t="n"/>
      <c r="B137" s="682" t="n"/>
      <c r="C137" s="682" t="n"/>
      <c r="D137" s="682" t="n"/>
      <c r="E137" s="682" t="n"/>
      <c r="F137" s="682" t="n"/>
      <c r="G137" s="682" t="n"/>
    </row>
    <row r="138">
      <c r="A138" s="592" t="n"/>
      <c r="B138" s="682" t="n"/>
      <c r="C138" s="682" t="n"/>
      <c r="D138" s="682" t="n"/>
      <c r="E138" s="682" t="n"/>
      <c r="F138" s="682" t="n"/>
      <c r="G138" s="682" t="n"/>
    </row>
    <row r="139">
      <c r="A139" s="592" t="n"/>
      <c r="B139" s="682" t="n"/>
      <c r="C139" s="682" t="n"/>
      <c r="D139" s="682" t="n"/>
      <c r="E139" s="682" t="n"/>
      <c r="F139" s="682" t="n"/>
      <c r="G139" s="682" t="n"/>
    </row>
    <row r="140" hidden="1" outlineLevel="2">
      <c r="A140" t="inlineStr">
        <is>
          <t>TABLE6 HELPER — Pesimista</t>
        </is>
      </c>
      <c r="BJ140" t="n">
        <v>1</v>
      </c>
      <c r="BK140">
        <f>CHOOSE($BJ$140,Escenarios!$D$9,Escenarios!$E$9,Escenarios!$F$9)</f>
        <v/>
      </c>
      <c r="BL140">
        <f>CHOOSE($BJ$140,Escenarios!$D$10,Escenarios!$E$10,Escenarios!$F$10)</f>
        <v/>
      </c>
      <c r="BM140">
        <f>CHOOSE($BJ$140,Escenarios!$D$11,Escenarios!$E$11,Escenarios!$F$11)</f>
        <v/>
      </c>
      <c r="BN140">
        <f>CHOOSE($BJ$140,Escenarios!$D$12,Escenarios!$E$12,Escenarios!$F$12)</f>
        <v/>
      </c>
      <c r="BO140">
        <f>CHOOSE($BJ$140,Escenarios!$D$13,Escenarios!$E$13,Escenarios!$F$13)</f>
        <v/>
      </c>
      <c r="BP140">
        <f>Escenarios!$D$28*'Supuestos Generales'!$B$50+Escenarios!$D$29*'Supuestos Generales'!$B$51+Escenarios!$D$30*'Supuestos Generales'!$B$52</f>
        <v/>
      </c>
      <c r="BQ140">
        <f>CHOOSE($BJ$140,Escenarios!$D$17,Escenarios!$E$17,Escenarios!$F$17)</f>
        <v/>
      </c>
      <c r="BR140">
        <f>CHOOSE($BJ$140,Escenarios!$D$18,Escenarios!$E$18,Escenarios!$F$18)</f>
        <v/>
      </c>
      <c r="BS140">
        <f>(Escenarios!$D$28*'Supuestos Generales'!$B$46*(1-IF($BU$140&lt;1,0,IF($BU$140&lt;2,0.1,IF($BU$140&lt;3,0.2,IF($BU$140&lt;4,0.3,IF($BU$140&lt;5,0.4,0.5))))))+Escenarios!$D$29*'Supuestos Generales'!$B$47*(1-IF($BU$140&lt;1,0,IF($BU$140&lt;2,0.1,IF($BU$140&lt;3,0.2,IF($BU$140&lt;4,0.3,IF($BU$140&lt;5,0.4,0.5))))))+Escenarios!$D$30*'Supuestos Generales'!$B$48*(1-IF('Supuestos Generales'!$B$52&lt;=10,0,IF('Supuestos Generales'!$B$52&lt;=15,0.05,IF('Supuestos Generales'!$B$52&lt;=25,0.1,IF('Supuestos Generales'!$B$52&lt;=40,0.15,0.2)))))*(1-IF($BU$140&lt;1,0,IF($BU$140&lt;2,0.1,IF($BU$140&lt;3,0.2,IF($BU$140&lt;4,0.3,IF($BU$140&lt;5,0.4,0.5)))))))</f>
        <v/>
      </c>
      <c r="BT140">
        <f>CHOOSE($BJ$140,Escenarios!$D$20,Escenarios!$E$20,Escenarios!$F$20)</f>
        <v/>
      </c>
      <c r="BU140">
        <f>CHOOSE($BJ$140,Escenarios!$D$21,Escenarios!$E$21,Escenarios!$F$21)</f>
        <v/>
      </c>
      <c r="BV140">
        <f>CHOOSE($BJ$140,Escenarios!$D$22,Escenarios!$E$22,Escenarios!$F$22)</f>
        <v/>
      </c>
      <c r="BW140">
        <f>CHOOSE($BJ$140,Escenarios!$D$23,Escenarios!$E$23,Escenarios!$F$23)</f>
        <v/>
      </c>
      <c r="BX140">
        <f>CHOOSE($BJ$140,Escenarios!$D$24,Escenarios!$E$24,Escenarios!$F$24)</f>
        <v/>
      </c>
      <c r="BY140">
        <f>CHOOSE($BJ$140,Escenarios!$D$26,Escenarios!$E$26,Escenarios!$F$26)</f>
        <v/>
      </c>
      <c r="BZ140">
        <f>CHOOSE($BJ$140,Escenarios!$D$39,Escenarios!$E$39,Escenarios!$F$39)</f>
        <v/>
      </c>
      <c r="CA140">
        <f>CHOOSE($BJ$140,Escenarios!$D$34,Escenarios!$E$34,Escenarios!$F$34)</f>
        <v/>
      </c>
      <c r="CB140">
        <f>CHOOSE($BJ$140,Escenarios!$D$35,Escenarios!$E$35,Escenarios!$F$35)</f>
        <v/>
      </c>
      <c r="CC140">
        <f>CHOOSE($BJ$140,Escenarios!$D$36,Escenarios!$E$36,Escenarios!$F$36)</f>
        <v/>
      </c>
      <c r="CD140">
        <f>CHOOSE($BJ$140,Escenarios!$D$37,Escenarios!$E$37,Escenarios!$F$37)</f>
        <v/>
      </c>
      <c r="CE140">
        <f>CHOOSE($BJ$140,Escenarios!$D$38,Escenarios!$E$38,Escenarios!$F$38)</f>
        <v/>
      </c>
      <c r="CF140">
        <f>CHOOSE($BJ$140,Escenarios!$D$44,Escenarios!$E$44,Escenarios!$F$44)</f>
        <v/>
      </c>
      <c r="CG140">
        <f>CHOOSE($BJ$140,Escenarios!$D$45,Escenarios!$E$45,Escenarios!$F$45)</f>
        <v/>
      </c>
      <c r="CH140">
        <f>CHOOSE($BJ$140,Escenarios!$D$46,Escenarios!$E$46,Escenarios!$F$46)</f>
        <v/>
      </c>
      <c r="CI140">
        <f>CHOOSE($BJ$140,Escenarios!$D$47,Escenarios!$E$47,Escenarios!$F$47)</f>
        <v/>
      </c>
      <c r="CJ140">
        <f>CHOOSE($BJ$140,Escenarios!$D$48,Escenarios!$E$48,Escenarios!$F$48)</f>
        <v/>
      </c>
      <c r="CK140">
        <f>CHOOSE($BJ$140,Escenarios!$D$49,Escenarios!$E$49,Escenarios!$F$49)</f>
        <v/>
      </c>
      <c r="CL140">
        <f>CHOOSE($BJ$140,Escenarios!$D$50,Escenarios!$E$50,Escenarios!$F$50)</f>
        <v/>
      </c>
      <c r="CM140">
        <f>CHOOSE($BJ$140,Escenarios!$D$51,Escenarios!$E$51,Escenarios!$F$51)</f>
        <v/>
      </c>
      <c r="CN140">
        <f>SUMPRODUCT('Supuestos Generales'!$B$96:$B$99,'Supuestos Generales'!$B$102:$B$105)</f>
        <v/>
      </c>
      <c r="CO140">
        <f>SUMPRODUCT('Supuestos Generales'!$B$96:$B$99,'Supuestos Generales'!$B$107:$B$110)</f>
        <v/>
      </c>
      <c r="CP140">
        <f>IF('Supuestos Generales'!$B$94=1,'Supuestos Generales'!$B$88,'Supuestos Generales'!$B$89)</f>
        <v/>
      </c>
      <c r="CQ140">
        <f>'Supuestos Generales'!$B$91</f>
        <v/>
      </c>
      <c r="CR140" s="497">
        <f>'Supuestos Generales'!$B$90</f>
        <v/>
      </c>
      <c r="CS140">
        <f>'Supuestos Generales'!$B$93</f>
        <v/>
      </c>
      <c r="CT140" s="216">
        <f>'Supuestos Generales'!$B$113</f>
        <v/>
      </c>
      <c r="CU140">
        <f>'Supuestos Generales'!$B$114</f>
        <v/>
      </c>
      <c r="CV140">
        <f>'Supuestos Generales'!$B$66</f>
        <v/>
      </c>
      <c r="CW140">
        <f>SUM('Supuestos Generales'!$B$118:$B$124)</f>
        <v/>
      </c>
      <c r="CX140">
        <f>'Supuestos Generales'!$B$126</f>
        <v/>
      </c>
      <c r="CY140">
        <f>'Supuestos Generales'!$B$85</f>
        <v/>
      </c>
      <c r="CZ140">
        <f>'Supuestos Generales'!$B$38</f>
        <v/>
      </c>
      <c r="DA140">
        <f>'Supuestos Generales'!$B$37</f>
        <v/>
      </c>
      <c r="DB140">
        <f>'Supuestos Generales'!$B$24</f>
        <v/>
      </c>
      <c r="DC140">
        <f>'Supuestos Generales'!$B$25</f>
        <v/>
      </c>
      <c r="DD140">
        <f>'Supuestos Generales'!$B$29</f>
        <v/>
      </c>
      <c r="DE140">
        <f>CHOOSE($BJ$140,Escenarios!$D$40,Escenarios!$E$40,Escenarios!$F$40)</f>
        <v/>
      </c>
      <c r="DF140" t="inlineStr">
        <is>
          <t>2 (Coca-Cola + ACODRES)</t>
        </is>
      </c>
      <c r="DG140">
        <f>INDEX(B146:BI146,60)</f>
        <v/>
      </c>
      <c r="DH140">
        <f>SUM(B154:BI154)</f>
        <v/>
      </c>
      <c r="DI140">
        <f>SUM(B159:BI159)</f>
        <v/>
      </c>
      <c r="DJ140">
        <f>DH140-DI140</f>
        <v/>
      </c>
      <c r="DK140">
        <f>SUM(B163:BI163)</f>
        <v/>
      </c>
      <c r="DL140">
        <f>SUM(B164:BI164)</f>
        <v/>
      </c>
      <c r="DM140">
        <f>INDEX(B165:BI165,60)</f>
        <v/>
      </c>
      <c r="DN140">
        <f>(INDEX(B154:BI154,60)-INDEX(B150:BI150,60))*12</f>
        <v/>
      </c>
      <c r="DO140">
        <f>SUM(B163:M163)</f>
        <v/>
      </c>
      <c r="DP140">
        <f>SUM(AX163:BI163)</f>
        <v/>
      </c>
    </row>
    <row r="141" hidden="1" outlineLevel="2" ht="18" customHeight="1">
      <c r="A141" s="519" t="inlineStr">
        <is>
          <t>5. ARR POR AÑO — 3 ESCENARIOS</t>
        </is>
      </c>
      <c r="B141">
        <f t="array" ref="B141:BI141">_xlfn.LET(_xlpm.m,_xlfn.SEQUENCE(1,60),IF(_xlpm.m&lt;='Supuestos Generales'!$C$12,$BK$140,IF(_xlpm.m&lt;='Supuestos Generales'!$C$13,$BL$140,IF(_xlpm.m&lt;='Supuestos Generales'!$C$14,$BM$140,IF(_xlpm.m&lt;='Supuestos Generales'!$C$15,$BN$140,$BO$140)))))</f>
        <v/>
      </c>
      <c r="C141" t="n">
        <v>2</v>
      </c>
      <c r="D141" t="n">
        <v>2</v>
      </c>
      <c r="E141" t="n">
        <v>4</v>
      </c>
      <c r="F141" t="n">
        <v>4</v>
      </c>
      <c r="G141" t="n">
        <v>4</v>
      </c>
      <c r="H141" t="n">
        <v>8</v>
      </c>
      <c r="I141" t="n">
        <v>8</v>
      </c>
      <c r="J141" t="n">
        <v>8</v>
      </c>
      <c r="K141" t="n">
        <v>8</v>
      </c>
      <c r="L141" t="n">
        <v>8</v>
      </c>
      <c r="M141" t="n">
        <v>8</v>
      </c>
      <c r="N141" t="n">
        <v>14</v>
      </c>
      <c r="O141" t="n">
        <v>14</v>
      </c>
      <c r="P141" t="n">
        <v>14</v>
      </c>
      <c r="Q141" t="n">
        <v>14</v>
      </c>
      <c r="R141" t="n">
        <v>14</v>
      </c>
      <c r="S141" t="n">
        <v>14</v>
      </c>
      <c r="T141" t="n">
        <v>14</v>
      </c>
      <c r="U141" t="n">
        <v>14</v>
      </c>
      <c r="V141" t="n">
        <v>14</v>
      </c>
      <c r="W141" t="n">
        <v>14</v>
      </c>
      <c r="X141" t="n">
        <v>14</v>
      </c>
      <c r="Y141" t="n">
        <v>14</v>
      </c>
      <c r="Z141" t="n">
        <v>20</v>
      </c>
      <c r="AA141" t="n">
        <v>20</v>
      </c>
      <c r="AB141" t="n">
        <v>20</v>
      </c>
      <c r="AC141" t="n">
        <v>20</v>
      </c>
      <c r="AD141" t="n">
        <v>20</v>
      </c>
      <c r="AE141" t="n">
        <v>20</v>
      </c>
      <c r="AF141" t="n">
        <v>20</v>
      </c>
      <c r="AG141" t="n">
        <v>20</v>
      </c>
      <c r="AH141" t="n">
        <v>20</v>
      </c>
      <c r="AI141" t="n">
        <v>20</v>
      </c>
      <c r="AJ141" t="n">
        <v>20</v>
      </c>
      <c r="AK141" t="n">
        <v>20</v>
      </c>
      <c r="AL141" t="n">
        <v>20</v>
      </c>
      <c r="AM141" t="n">
        <v>20</v>
      </c>
      <c r="AN141" t="n">
        <v>20</v>
      </c>
      <c r="AO141" t="n">
        <v>20</v>
      </c>
      <c r="AP141" t="n">
        <v>20</v>
      </c>
      <c r="AQ141" t="n">
        <v>20</v>
      </c>
      <c r="AR141" t="n">
        <v>20</v>
      </c>
      <c r="AS141" t="n">
        <v>20</v>
      </c>
      <c r="AT141" t="n">
        <v>20</v>
      </c>
      <c r="AU141" t="n">
        <v>20</v>
      </c>
      <c r="AV141" t="n">
        <v>20</v>
      </c>
      <c r="AW141" t="n">
        <v>20</v>
      </c>
      <c r="AX141" t="n">
        <v>20</v>
      </c>
      <c r="AY141" t="n">
        <v>20</v>
      </c>
      <c r="AZ141" t="n">
        <v>20</v>
      </c>
      <c r="BA141" t="n">
        <v>20</v>
      </c>
      <c r="BB141" t="n">
        <v>20</v>
      </c>
      <c r="BC141" t="n">
        <v>20</v>
      </c>
      <c r="BD141" t="n">
        <v>20</v>
      </c>
      <c r="BE141" t="n">
        <v>20</v>
      </c>
      <c r="BF141" t="n">
        <v>20</v>
      </c>
      <c r="BG141" t="n">
        <v>20</v>
      </c>
      <c r="BH141" t="n">
        <v>20</v>
      </c>
      <c r="BI141" t="n">
        <v>20</v>
      </c>
    </row>
    <row r="142" hidden="1" outlineLevel="2">
      <c r="A142" s="530" t="inlineStr">
        <is>
          <t>Año</t>
        </is>
      </c>
      <c r="B142">
        <f t="array" ref="B142:BI142">_xlfn.HSTACK(0,_xlfn.TAKE(_xlfn.ANCHORARRAY(B141)+_xlfn.ANCHORARRAY(B144),,59)*$CQ$140/2)</f>
        <v/>
      </c>
      <c r="C142" t="n">
        <v>2</v>
      </c>
      <c r="D142" t="n">
        <v>2</v>
      </c>
      <c r="E142" t="n">
        <v>2</v>
      </c>
      <c r="F142" t="n">
        <v>4</v>
      </c>
      <c r="G142" t="n">
        <v>4</v>
      </c>
      <c r="H142" t="n">
        <v>6</v>
      </c>
      <c r="I142" t="n">
        <v>10</v>
      </c>
      <c r="J142" t="n">
        <v>12</v>
      </c>
      <c r="K142" t="n">
        <v>14</v>
      </c>
      <c r="L142" t="n">
        <v>14</v>
      </c>
      <c r="M142" t="n">
        <v>16</v>
      </c>
      <c r="N142" t="n">
        <v>16</v>
      </c>
      <c r="O142" t="n">
        <v>24</v>
      </c>
      <c r="P142" t="n">
        <v>26</v>
      </c>
      <c r="Q142" t="n">
        <v>26</v>
      </c>
      <c r="R142" t="n">
        <v>28</v>
      </c>
      <c r="S142" t="n">
        <v>30</v>
      </c>
      <c r="T142" t="n">
        <v>30</v>
      </c>
      <c r="U142" t="n">
        <v>32</v>
      </c>
      <c r="V142" t="n">
        <v>32</v>
      </c>
      <c r="W142" t="n">
        <v>34</v>
      </c>
      <c r="X142" t="n">
        <v>36</v>
      </c>
      <c r="Y142" t="n">
        <v>36</v>
      </c>
      <c r="Z142" t="n">
        <v>38</v>
      </c>
      <c r="AA142" t="n">
        <v>46</v>
      </c>
      <c r="AB142" t="n">
        <v>46</v>
      </c>
      <c r="AC142" t="n">
        <v>48</v>
      </c>
      <c r="AD142" t="n">
        <v>48</v>
      </c>
      <c r="AE142" t="n">
        <v>50</v>
      </c>
      <c r="AF142" t="n">
        <v>50</v>
      </c>
      <c r="AG142" t="n">
        <v>50</v>
      </c>
      <c r="AH142" t="n">
        <v>50</v>
      </c>
      <c r="AI142" t="n">
        <v>50</v>
      </c>
      <c r="AJ142" t="n">
        <v>50</v>
      </c>
      <c r="AK142" t="n">
        <v>50</v>
      </c>
      <c r="AL142" t="n">
        <v>50</v>
      </c>
      <c r="AM142" t="n">
        <v>50</v>
      </c>
      <c r="AN142" t="n">
        <v>50</v>
      </c>
      <c r="AO142" t="n">
        <v>50</v>
      </c>
      <c r="AP142" t="n">
        <v>50</v>
      </c>
      <c r="AQ142" t="n">
        <v>50</v>
      </c>
      <c r="AR142" t="n">
        <v>50</v>
      </c>
      <c r="AS142" t="n">
        <v>50</v>
      </c>
      <c r="AT142" t="n">
        <v>50</v>
      </c>
      <c r="AU142" t="n">
        <v>50</v>
      </c>
      <c r="AV142" t="n">
        <v>50</v>
      </c>
      <c r="AW142" t="n">
        <v>50</v>
      </c>
      <c r="AX142" t="n">
        <v>50</v>
      </c>
      <c r="AY142" t="n">
        <v>50</v>
      </c>
      <c r="AZ142" t="n">
        <v>50</v>
      </c>
      <c r="BA142" t="n">
        <v>50</v>
      </c>
      <c r="BB142" t="n">
        <v>50</v>
      </c>
      <c r="BC142" t="n">
        <v>50</v>
      </c>
      <c r="BD142" t="n">
        <v>50</v>
      </c>
      <c r="BE142" t="n">
        <v>50</v>
      </c>
      <c r="BF142" t="n">
        <v>50</v>
      </c>
      <c r="BG142" t="n">
        <v>50</v>
      </c>
      <c r="BH142" t="n">
        <v>50</v>
      </c>
      <c r="BI142" t="n">
        <v>50</v>
      </c>
    </row>
    <row r="143" hidden="1" outlineLevel="2">
      <c r="A143" s="583" t="inlineStr">
        <is>
          <t>Año 1</t>
        </is>
      </c>
      <c r="B143">
        <f t="array" ref="B143:BI143">_xlfn.HSTACK(0,0,_xlfn.TAKE(_xlfn.ANCHORARRAY(B141)+_xlfn.ANCHORARRAY(B144),,58)*$CQ$140/2)</f>
        <v/>
      </c>
      <c r="C143" t="n">
        <v>0</v>
      </c>
      <c r="D143" t="n">
        <v>2</v>
      </c>
      <c r="E143" t="n">
        <v>2</v>
      </c>
      <c r="F143" t="n">
        <v>2</v>
      </c>
      <c r="G143" t="n">
        <v>4</v>
      </c>
      <c r="H143" t="n">
        <v>4</v>
      </c>
      <c r="I143" t="n">
        <v>6</v>
      </c>
      <c r="J143" t="n">
        <v>10</v>
      </c>
      <c r="K143" t="n">
        <v>12</v>
      </c>
      <c r="L143" t="n">
        <v>14</v>
      </c>
      <c r="M143" t="n">
        <v>14</v>
      </c>
      <c r="N143" t="n">
        <v>16</v>
      </c>
      <c r="O143" t="n">
        <v>16</v>
      </c>
      <c r="P143" t="n">
        <v>24</v>
      </c>
      <c r="Q143" t="n">
        <v>26</v>
      </c>
      <c r="R143" t="n">
        <v>26</v>
      </c>
      <c r="S143" t="n">
        <v>28</v>
      </c>
      <c r="T143" t="n">
        <v>30</v>
      </c>
      <c r="U143" t="n">
        <v>30</v>
      </c>
      <c r="V143" t="n">
        <v>32</v>
      </c>
      <c r="W143" t="n">
        <v>32</v>
      </c>
      <c r="X143" t="n">
        <v>34</v>
      </c>
      <c r="Y143" t="n">
        <v>36</v>
      </c>
      <c r="Z143" t="n">
        <v>36</v>
      </c>
      <c r="AA143" t="n">
        <v>38</v>
      </c>
      <c r="AB143" t="n">
        <v>46</v>
      </c>
      <c r="AC143" t="n">
        <v>46</v>
      </c>
      <c r="AD143" t="n">
        <v>48</v>
      </c>
      <c r="AE143" t="n">
        <v>48</v>
      </c>
      <c r="AF143" t="n">
        <v>50</v>
      </c>
      <c r="AG143" t="n">
        <v>50</v>
      </c>
      <c r="AH143" t="n">
        <v>50</v>
      </c>
      <c r="AI143" t="n">
        <v>50</v>
      </c>
      <c r="AJ143" t="n">
        <v>50</v>
      </c>
      <c r="AK143" t="n">
        <v>50</v>
      </c>
      <c r="AL143" t="n">
        <v>50</v>
      </c>
      <c r="AM143" t="n">
        <v>50</v>
      </c>
      <c r="AN143" t="n">
        <v>50</v>
      </c>
      <c r="AO143" t="n">
        <v>50</v>
      </c>
      <c r="AP143" t="n">
        <v>50</v>
      </c>
      <c r="AQ143" t="n">
        <v>50</v>
      </c>
      <c r="AR143" t="n">
        <v>50</v>
      </c>
      <c r="AS143" t="n">
        <v>50</v>
      </c>
      <c r="AT143" t="n">
        <v>50</v>
      </c>
      <c r="AU143" t="n">
        <v>50</v>
      </c>
      <c r="AV143" t="n">
        <v>50</v>
      </c>
      <c r="AW143" t="n">
        <v>50</v>
      </c>
      <c r="AX143" t="n">
        <v>50</v>
      </c>
      <c r="AY143" t="n">
        <v>50</v>
      </c>
      <c r="AZ143" t="n">
        <v>50</v>
      </c>
      <c r="BA143" t="n">
        <v>50</v>
      </c>
      <c r="BB143" t="n">
        <v>50</v>
      </c>
      <c r="BC143" t="n">
        <v>50</v>
      </c>
      <c r="BD143" t="n">
        <v>50</v>
      </c>
      <c r="BE143" t="n">
        <v>50</v>
      </c>
      <c r="BF143" t="n">
        <v>50</v>
      </c>
      <c r="BG143" t="n">
        <v>50</v>
      </c>
      <c r="BH143" t="n">
        <v>50</v>
      </c>
      <c r="BI143" t="n">
        <v>50</v>
      </c>
    </row>
    <row r="144" hidden="1" outlineLevel="2">
      <c r="A144" s="584" t="inlineStr">
        <is>
          <t>Año 2</t>
        </is>
      </c>
      <c r="B144">
        <f t="array" ref="B144:BI144">_xlfn.LET(_xlpm.m,_xlfn.SEQUENCE(1,60),IF(($CF$140=1)*(_xlpm.m&gt;=Palancas!$B$15),IF(ROUND($CK$140*(_xlpm.m-Palancas!$B$15+1)/$CM$140,0)&lt;$CK$140,ROUND($CK$140*(_xlpm.m-Palancas!$B$15+1)/$CM$140,0),$CK$140),0)+IF(($CG$140=1)*(_xlpm.m&gt;=Palancas!$F$15),IF(ROUND($CK$140*(_xlpm.m-Palancas!$F$15+1)/$CM$140,0)&lt;$CK$140,ROUND($CK$140*(_xlpm.m-Palancas!$F$15+1)/$CM$140,0),$CK$140),0)+IF(($CH$140=1)*(_xlpm.m&gt;=Palancas!$B$23),IF(ROUND($CK$140*(_xlpm.m-Palancas!$B$23+1)/$CM$140,0)&lt;$CK$140,ROUND($CK$140*(_xlpm.m-Palancas!$B$23+1)/$CM$140,0),$CK$140),0)+IF(($CI$140=1)*(_xlpm.m&gt;=Palancas!$F$23),IF(ROUND($CK$140*(_xlpm.m-Palancas!$F$23+1)/$CM$140,0)&lt;$CK$140,ROUND($CK$140*(_xlpm.m-Palancas!$F$23+1)/$CM$140,0),$CK$140),0)+IF(($CJ$140=1)*(_xlpm.m&gt;=Palancas!$B$31)*(_xlpm.m&lt;=MIN(60,Palancas!$B$31+CEILING(Palancas!$B$30/$CL$140,1)-1)),IF(ROUND($CL$140*(_xlpm.m-Palancas!$B$31+1)/$CM$140,0)&lt;$CL$140,ROUND($CL$140*(_xlpm.m-Palancas!$B$31+1)/$CM$140,0),$CL$140),0))</f>
        <v/>
      </c>
      <c r="C144" t="n">
        <v>0</v>
      </c>
      <c r="D144" t="n">
        <v>0</v>
      </c>
      <c r="E144" t="n">
        <v>0</v>
      </c>
      <c r="F144" t="n">
        <v>0</v>
      </c>
      <c r="G144" t="n">
        <v>2</v>
      </c>
      <c r="H144" t="n">
        <v>2</v>
      </c>
      <c r="I144" t="n">
        <v>4</v>
      </c>
      <c r="J144" t="n">
        <v>6</v>
      </c>
      <c r="K144" t="n">
        <v>6</v>
      </c>
      <c r="L144" t="n">
        <v>8</v>
      </c>
      <c r="M144" t="n">
        <v>8</v>
      </c>
      <c r="N144" t="n">
        <v>10</v>
      </c>
      <c r="O144" t="n">
        <v>12</v>
      </c>
      <c r="P144" t="n">
        <v>12</v>
      </c>
      <c r="Q144" t="n">
        <v>14</v>
      </c>
      <c r="R144" t="n">
        <v>16</v>
      </c>
      <c r="S144" t="n">
        <v>16</v>
      </c>
      <c r="T144" t="n">
        <v>18</v>
      </c>
      <c r="U144" t="n">
        <v>18</v>
      </c>
      <c r="V144" t="n">
        <v>20</v>
      </c>
      <c r="W144" t="n">
        <v>22</v>
      </c>
      <c r="X144" t="n">
        <v>22</v>
      </c>
      <c r="Y144" t="n">
        <v>24</v>
      </c>
      <c r="Z144" t="n">
        <v>26</v>
      </c>
      <c r="AA144" t="n">
        <v>26</v>
      </c>
      <c r="AB144" t="n">
        <v>28</v>
      </c>
      <c r="AC144" t="n">
        <v>28</v>
      </c>
      <c r="AD144" t="n">
        <v>30</v>
      </c>
      <c r="AE144" t="n">
        <v>30</v>
      </c>
      <c r="AF144" t="n">
        <v>30</v>
      </c>
      <c r="AG144" t="n">
        <v>30</v>
      </c>
      <c r="AH144" t="n">
        <v>30</v>
      </c>
      <c r="AI144" t="n">
        <v>30</v>
      </c>
      <c r="AJ144" t="n">
        <v>30</v>
      </c>
      <c r="AK144" t="n">
        <v>30</v>
      </c>
      <c r="AL144" t="n">
        <v>30</v>
      </c>
      <c r="AM144" t="n">
        <v>30</v>
      </c>
      <c r="AN144" t="n">
        <v>30</v>
      </c>
      <c r="AO144" t="n">
        <v>30</v>
      </c>
      <c r="AP144" t="n">
        <v>30</v>
      </c>
      <c r="AQ144" t="n">
        <v>30</v>
      </c>
      <c r="AR144" t="n">
        <v>30</v>
      </c>
      <c r="AS144" t="n">
        <v>30</v>
      </c>
      <c r="AT144" t="n">
        <v>30</v>
      </c>
      <c r="AU144" t="n">
        <v>30</v>
      </c>
      <c r="AV144" t="n">
        <v>30</v>
      </c>
      <c r="AW144" t="n">
        <v>30</v>
      </c>
      <c r="AX144" t="n">
        <v>30</v>
      </c>
      <c r="AY144" t="n">
        <v>30</v>
      </c>
      <c r="AZ144" t="n">
        <v>30</v>
      </c>
      <c r="BA144" t="n">
        <v>30</v>
      </c>
      <c r="BB144" t="n">
        <v>30</v>
      </c>
      <c r="BC144" t="n">
        <v>30</v>
      </c>
      <c r="BD144" t="n">
        <v>30</v>
      </c>
      <c r="BE144" t="n">
        <v>30</v>
      </c>
      <c r="BF144" t="n">
        <v>30</v>
      </c>
      <c r="BG144" t="n">
        <v>30</v>
      </c>
      <c r="BH144" t="n">
        <v>30</v>
      </c>
      <c r="BI144" t="n">
        <v>30</v>
      </c>
    </row>
    <row r="145" hidden="1" outlineLevel="2">
      <c r="A145" s="583" t="inlineStr">
        <is>
          <t>Año 3</t>
        </is>
      </c>
      <c r="B145">
        <f t="array" ref="B145:BI145">_xlfn.ANCHORARRAY(B141)+_xlfn.ANCHORARRAY(B142)+_xlfn.ANCHORARRAY(B143)+_xlfn.ANCHORARRAY(B144)</f>
        <v/>
      </c>
      <c r="C145" t="n">
        <v>4</v>
      </c>
      <c r="D145" t="n">
        <v>6</v>
      </c>
      <c r="E145" t="n">
        <v>8</v>
      </c>
      <c r="F145" t="n">
        <v>10</v>
      </c>
      <c r="G145" t="n">
        <v>14</v>
      </c>
      <c r="H145" t="n">
        <v>20</v>
      </c>
      <c r="I145" t="n">
        <v>28</v>
      </c>
      <c r="J145" t="n">
        <v>36</v>
      </c>
      <c r="K145" t="n">
        <v>40</v>
      </c>
      <c r="L145" t="n">
        <v>44</v>
      </c>
      <c r="M145" t="n">
        <v>46</v>
      </c>
      <c r="N145" t="n">
        <v>56</v>
      </c>
      <c r="O145" t="n">
        <v>66</v>
      </c>
      <c r="P145" t="n">
        <v>76</v>
      </c>
      <c r="Q145" t="n">
        <v>80</v>
      </c>
      <c r="R145" t="n">
        <v>84</v>
      </c>
      <c r="S145" t="n">
        <v>88</v>
      </c>
      <c r="T145" t="n">
        <v>92</v>
      </c>
      <c r="U145" t="n">
        <v>94</v>
      </c>
      <c r="V145" t="n">
        <v>98</v>
      </c>
      <c r="W145" t="n">
        <v>102</v>
      </c>
      <c r="X145" t="n">
        <v>106</v>
      </c>
      <c r="Y145" t="n">
        <v>110</v>
      </c>
      <c r="Z145" t="n">
        <v>120</v>
      </c>
      <c r="AA145" t="n">
        <v>130</v>
      </c>
      <c r="AB145" t="n">
        <v>140</v>
      </c>
      <c r="AC145" t="n">
        <v>142</v>
      </c>
      <c r="AD145" t="n">
        <v>146</v>
      </c>
      <c r="AE145" t="n">
        <v>148</v>
      </c>
      <c r="AF145" t="n">
        <v>150</v>
      </c>
      <c r="AG145" t="n">
        <v>150</v>
      </c>
      <c r="AH145" t="n">
        <v>150</v>
      </c>
      <c r="AI145" t="n">
        <v>150</v>
      </c>
      <c r="AJ145" t="n">
        <v>150</v>
      </c>
      <c r="AK145" t="n">
        <v>150</v>
      </c>
      <c r="AL145" t="n">
        <v>150</v>
      </c>
      <c r="AM145" t="n">
        <v>150</v>
      </c>
      <c r="AN145" t="n">
        <v>150</v>
      </c>
      <c r="AO145" t="n">
        <v>150</v>
      </c>
      <c r="AP145" t="n">
        <v>150</v>
      </c>
      <c r="AQ145" t="n">
        <v>150</v>
      </c>
      <c r="AR145" t="n">
        <v>150</v>
      </c>
      <c r="AS145" t="n">
        <v>150</v>
      </c>
      <c r="AT145" t="n">
        <v>150</v>
      </c>
      <c r="AU145" t="n">
        <v>150</v>
      </c>
      <c r="AV145" t="n">
        <v>150</v>
      </c>
      <c r="AW145" t="n">
        <v>150</v>
      </c>
      <c r="AX145" t="n">
        <v>150</v>
      </c>
      <c r="AY145" t="n">
        <v>150</v>
      </c>
      <c r="AZ145" t="n">
        <v>150</v>
      </c>
      <c r="BA145" t="n">
        <v>150</v>
      </c>
      <c r="BB145" t="n">
        <v>150</v>
      </c>
      <c r="BC145" t="n">
        <v>150</v>
      </c>
      <c r="BD145" t="n">
        <v>150</v>
      </c>
      <c r="BE145" t="n">
        <v>150</v>
      </c>
      <c r="BF145" t="n">
        <v>150</v>
      </c>
      <c r="BG145" t="n">
        <v>150</v>
      </c>
      <c r="BH145" t="n">
        <v>150</v>
      </c>
      <c r="BI145" t="n">
        <v>150</v>
      </c>
    </row>
    <row r="146" hidden="1" outlineLevel="2">
      <c r="A146" s="584" t="inlineStr">
        <is>
          <t>Año 4</t>
        </is>
      </c>
      <c r="B146">
        <f t="array" ref="B146:BI146">_xlfn.LET(_xlpm.n,_xlfn.ANCHORARRAY(B145),_xlpm.ch,$BQ$140,_xlfn.SCAN(0,_xlpm.n,_xlfn.LAMBDA(_xlpm.prev,_xlpm.new,_xlpm.prev+_xlpm.new-ROUND(_xlpm.prev*_xlpm.ch,0))))</f>
        <v/>
      </c>
      <c r="C146" t="n">
        <v>6</v>
      </c>
      <c r="D146" t="n">
        <v>12</v>
      </c>
      <c r="E146" t="n">
        <v>19</v>
      </c>
      <c r="F146" t="n">
        <v>28</v>
      </c>
      <c r="G146" t="n">
        <v>41</v>
      </c>
      <c r="H146" t="n">
        <v>59</v>
      </c>
      <c r="I146" t="n">
        <v>84</v>
      </c>
      <c r="J146" t="n">
        <v>116</v>
      </c>
      <c r="K146" t="n">
        <v>150</v>
      </c>
      <c r="L146" t="n">
        <v>186</v>
      </c>
      <c r="M146" t="n">
        <v>223</v>
      </c>
      <c r="N146" t="n">
        <v>268</v>
      </c>
      <c r="O146" t="n">
        <v>321</v>
      </c>
      <c r="P146" t="n">
        <v>381</v>
      </c>
      <c r="Q146" t="n">
        <v>442</v>
      </c>
      <c r="R146" t="n">
        <v>504</v>
      </c>
      <c r="S146" t="n">
        <v>567</v>
      </c>
      <c r="T146" t="n">
        <v>631</v>
      </c>
      <c r="U146" t="n">
        <v>693</v>
      </c>
      <c r="V146" t="n">
        <v>756</v>
      </c>
      <c r="W146" t="n">
        <v>820</v>
      </c>
      <c r="X146" t="n">
        <v>885</v>
      </c>
      <c r="Y146" t="n">
        <v>951</v>
      </c>
      <c r="Z146" t="n">
        <v>1023</v>
      </c>
      <c r="AA146" t="n">
        <v>1102</v>
      </c>
      <c r="AB146" t="n">
        <v>1187</v>
      </c>
      <c r="AC146" t="n">
        <v>1270</v>
      </c>
      <c r="AD146" t="n">
        <v>1352</v>
      </c>
      <c r="AE146" t="n">
        <v>1432</v>
      </c>
      <c r="AF146" t="n">
        <v>1510</v>
      </c>
      <c r="AG146" t="n">
        <v>1584</v>
      </c>
      <c r="AH146" t="n">
        <v>1655</v>
      </c>
      <c r="AI146" t="n">
        <v>1722</v>
      </c>
      <c r="AJ146" t="n">
        <v>1786</v>
      </c>
      <c r="AK146" t="n">
        <v>1847</v>
      </c>
      <c r="AL146" t="n">
        <v>1905</v>
      </c>
      <c r="AM146" t="n">
        <v>1960</v>
      </c>
      <c r="AN146" t="n">
        <v>2012</v>
      </c>
      <c r="AO146" t="n">
        <v>2061</v>
      </c>
      <c r="AP146" t="n">
        <v>2108</v>
      </c>
      <c r="AQ146" t="n">
        <v>2153</v>
      </c>
      <c r="AR146" t="n">
        <v>2195</v>
      </c>
      <c r="AS146" t="n">
        <v>2235</v>
      </c>
      <c r="AT146" t="n">
        <v>2273</v>
      </c>
      <c r="AU146" t="n">
        <v>2309</v>
      </c>
      <c r="AV146" t="n">
        <v>2344</v>
      </c>
      <c r="AW146" t="n">
        <v>2377</v>
      </c>
      <c r="AX146" t="n">
        <v>2408</v>
      </c>
      <c r="AY146" t="n">
        <v>2438</v>
      </c>
      <c r="AZ146" t="n">
        <v>2466</v>
      </c>
      <c r="BA146" t="n">
        <v>2493</v>
      </c>
      <c r="BB146" t="n">
        <v>2518</v>
      </c>
      <c r="BC146" t="n">
        <v>2542</v>
      </c>
      <c r="BD146" t="n">
        <v>2565</v>
      </c>
      <c r="BE146" t="n">
        <v>2587</v>
      </c>
      <c r="BF146" t="n">
        <v>2608</v>
      </c>
      <c r="BG146" t="n">
        <v>2628</v>
      </c>
      <c r="BH146" t="n">
        <v>2647</v>
      </c>
      <c r="BI146" t="n">
        <v>2665</v>
      </c>
    </row>
    <row r="147" hidden="1" outlineLevel="2">
      <c r="A147" s="585" t="inlineStr">
        <is>
          <t>Año 5</t>
        </is>
      </c>
      <c r="B147">
        <f t="array" ref="B147:BI147">_xlfn.HSTACK(0,ROUND(_xlfn.TAKE(_xlfn.ANCHORARRAY(B146),,59)*$BQ$140,0))</f>
        <v/>
      </c>
      <c r="C147" t="n">
        <v>0</v>
      </c>
      <c r="D147" t="n">
        <v>0</v>
      </c>
      <c r="E147" t="n">
        <v>1</v>
      </c>
      <c r="F147" t="n">
        <v>1</v>
      </c>
      <c r="G147" t="n">
        <v>1</v>
      </c>
      <c r="H147" t="n">
        <v>2</v>
      </c>
      <c r="I147" t="n">
        <v>3</v>
      </c>
      <c r="J147" t="n">
        <v>4</v>
      </c>
      <c r="K147" t="n">
        <v>6</v>
      </c>
      <c r="L147" t="n">
        <v>8</v>
      </c>
      <c r="M147" t="n">
        <v>9</v>
      </c>
      <c r="N147" t="n">
        <v>11</v>
      </c>
      <c r="O147" t="n">
        <v>13</v>
      </c>
      <c r="P147" t="n">
        <v>16</v>
      </c>
      <c r="Q147" t="n">
        <v>19</v>
      </c>
      <c r="R147" t="n">
        <v>22</v>
      </c>
      <c r="S147" t="n">
        <v>25</v>
      </c>
      <c r="T147" t="n">
        <v>28</v>
      </c>
      <c r="U147" t="n">
        <v>32</v>
      </c>
      <c r="V147" t="n">
        <v>35</v>
      </c>
      <c r="W147" t="n">
        <v>38</v>
      </c>
      <c r="X147" t="n">
        <v>41</v>
      </c>
      <c r="Y147" t="n">
        <v>44</v>
      </c>
      <c r="Z147" t="n">
        <v>48</v>
      </c>
      <c r="AA147" t="n">
        <v>51</v>
      </c>
      <c r="AB147" t="n">
        <v>55</v>
      </c>
      <c r="AC147" t="n">
        <v>59</v>
      </c>
      <c r="AD147" t="n">
        <v>64</v>
      </c>
      <c r="AE147" t="n">
        <v>68</v>
      </c>
      <c r="AF147" t="n">
        <v>72</v>
      </c>
      <c r="AG147" t="n">
        <v>76</v>
      </c>
      <c r="AH147" t="n">
        <v>79</v>
      </c>
      <c r="AI147" t="n">
        <v>83</v>
      </c>
      <c r="AJ147" t="n">
        <v>86</v>
      </c>
      <c r="AK147" t="n">
        <v>89</v>
      </c>
      <c r="AL147" t="n">
        <v>92</v>
      </c>
      <c r="AM147" t="n">
        <v>95</v>
      </c>
      <c r="AN147" t="n">
        <v>98</v>
      </c>
      <c r="AO147" t="n">
        <v>101</v>
      </c>
      <c r="AP147" t="n">
        <v>103</v>
      </c>
      <c r="AQ147" t="n">
        <v>105</v>
      </c>
      <c r="AR147" t="n">
        <v>108</v>
      </c>
      <c r="AS147" t="n">
        <v>110</v>
      </c>
      <c r="AT147" t="n">
        <v>112</v>
      </c>
      <c r="AU147" t="n">
        <v>114</v>
      </c>
      <c r="AV147" t="n">
        <v>115</v>
      </c>
      <c r="AW147" t="n">
        <v>117</v>
      </c>
      <c r="AX147" t="n">
        <v>119</v>
      </c>
      <c r="AY147" t="n">
        <v>120</v>
      </c>
      <c r="AZ147" t="n">
        <v>122</v>
      </c>
      <c r="BA147" t="n">
        <v>123</v>
      </c>
      <c r="BB147" t="n">
        <v>125</v>
      </c>
      <c r="BC147" t="n">
        <v>126</v>
      </c>
      <c r="BD147" t="n">
        <v>127</v>
      </c>
      <c r="BE147" t="n">
        <v>128</v>
      </c>
      <c r="BF147" t="n">
        <v>129</v>
      </c>
      <c r="BG147" t="n">
        <v>130</v>
      </c>
      <c r="BH147" t="n">
        <v>131</v>
      </c>
      <c r="BI147" t="n">
        <v>132</v>
      </c>
    </row>
    <row r="148" hidden="1" outlineLevel="2">
      <c r="A148" s="286" t="inlineStr">
        <is>
          <t>ARR = Ingreso recurrente del último mes del año × 12. Incluye SaaS fees + Fee Upgrade + Super Monedas.</t>
        </is>
      </c>
      <c r="B148">
        <f t="array" ref="B148:BI148">_xlfn.ANCHORARRAY(B146)*$BP$140*$BR$140</f>
        <v/>
      </c>
      <c r="C148" t="n">
        <v>32.625</v>
      </c>
      <c r="D148" t="n">
        <v>65.25</v>
      </c>
      <c r="E148" t="n">
        <v>103.3125</v>
      </c>
      <c r="F148" t="n">
        <v>152.25</v>
      </c>
      <c r="G148" t="n">
        <v>222.9375</v>
      </c>
      <c r="H148" t="n">
        <v>320.8125</v>
      </c>
      <c r="I148" t="n">
        <v>456.75</v>
      </c>
      <c r="J148" t="n">
        <v>630.75</v>
      </c>
      <c r="K148" t="n">
        <v>815.625</v>
      </c>
      <c r="L148" t="n">
        <v>1011.375</v>
      </c>
      <c r="M148" t="n">
        <v>1212.5625</v>
      </c>
      <c r="N148" t="n">
        <v>1457.25</v>
      </c>
      <c r="O148" t="n">
        <v>1745.4375</v>
      </c>
      <c r="P148" t="n">
        <v>2071.6875</v>
      </c>
      <c r="Q148" t="n">
        <v>2403.375</v>
      </c>
      <c r="R148" t="n">
        <v>2740.5</v>
      </c>
      <c r="S148" t="n">
        <v>3083.0625</v>
      </c>
      <c r="T148" t="n">
        <v>3431.0625</v>
      </c>
      <c r="U148" t="n">
        <v>3768.1875</v>
      </c>
      <c r="V148" t="n">
        <v>4110.75</v>
      </c>
      <c r="W148" t="n">
        <v>4458.75</v>
      </c>
      <c r="X148" t="n">
        <v>4812.1875</v>
      </c>
      <c r="Y148" t="n">
        <v>5171.0625</v>
      </c>
      <c r="Z148" t="n">
        <v>5562.5625</v>
      </c>
      <c r="AA148" t="n">
        <v>5992.125</v>
      </c>
      <c r="AB148" t="n">
        <v>6454.3125</v>
      </c>
      <c r="AC148" t="n">
        <v>6905.625</v>
      </c>
      <c r="AD148" t="n">
        <v>7351.5</v>
      </c>
      <c r="AE148" t="n">
        <v>7786.5</v>
      </c>
      <c r="AF148" t="n">
        <v>8210.625</v>
      </c>
      <c r="AG148" t="n">
        <v>8613</v>
      </c>
      <c r="AH148" t="n">
        <v>8999.0625</v>
      </c>
      <c r="AI148" t="n">
        <v>9363.375</v>
      </c>
      <c r="AJ148" t="n">
        <v>9711.375</v>
      </c>
      <c r="AK148" t="n">
        <v>10043.0625</v>
      </c>
      <c r="AL148" t="n">
        <v>10358.4375</v>
      </c>
      <c r="AM148" t="n">
        <v>10657.5</v>
      </c>
      <c r="AN148" t="n">
        <v>10940.25</v>
      </c>
      <c r="AO148" t="n">
        <v>11206.6875</v>
      </c>
      <c r="AP148" t="n">
        <v>11462.25</v>
      </c>
      <c r="AQ148" t="n">
        <v>11706.9375</v>
      </c>
      <c r="AR148" t="n">
        <v>11935.3125</v>
      </c>
      <c r="AS148" t="n">
        <v>12152.8125</v>
      </c>
      <c r="AT148" t="n">
        <v>12359.4375</v>
      </c>
      <c r="AU148" t="n">
        <v>12555.1875</v>
      </c>
      <c r="AV148" t="n">
        <v>12745.5</v>
      </c>
      <c r="AW148" t="n">
        <v>12924.9375</v>
      </c>
      <c r="AX148" t="n">
        <v>13093.5</v>
      </c>
      <c r="AY148" t="n">
        <v>13256.625</v>
      </c>
      <c r="AZ148" t="n">
        <v>13408.875</v>
      </c>
      <c r="BA148" t="n">
        <v>13555.6875</v>
      </c>
      <c r="BB148" t="n">
        <v>13691.625</v>
      </c>
      <c r="BC148" t="n">
        <v>13822.125</v>
      </c>
      <c r="BD148" t="n">
        <v>13947.1875</v>
      </c>
      <c r="BE148" t="n">
        <v>14066.8125</v>
      </c>
      <c r="BF148" t="n">
        <v>14181</v>
      </c>
      <c r="BG148" t="n">
        <v>14289.75</v>
      </c>
      <c r="BH148" t="n">
        <v>14393.0625</v>
      </c>
      <c r="BI148" t="n">
        <v>14490.9375</v>
      </c>
    </row>
    <row r="149" hidden="1" outlineLevel="2">
      <c r="A149" t="inlineStr">
        <is>
          <t>Brands Avg</t>
        </is>
      </c>
      <c r="B149">
        <f t="array" ref="B149:BI149">_xlfn.HSTACK($BU$140,_xlfn.SCAN($BU$140,_xlfn.SEQUENCE(1,59),_xlfn.LAMBDA(_xlpm.prev,_xlpm._,_xlpm.prev*(1+$DD$140))))</f>
        <v/>
      </c>
      <c r="C149" t="n">
        <v>1.01</v>
      </c>
      <c r="D149" t="n">
        <v>1.0201</v>
      </c>
      <c r="E149" t="n">
        <v>1.030301</v>
      </c>
      <c r="F149" t="n">
        <v>1.04060401</v>
      </c>
      <c r="G149" t="n">
        <v>1.0510100501</v>
      </c>
      <c r="H149" t="n">
        <v>1.061520150601</v>
      </c>
      <c r="I149" t="n">
        <v>1.07213535210701</v>
      </c>
      <c r="J149" t="n">
        <v>1.08285670562808</v>
      </c>
      <c r="K149" t="n">
        <v>1.093685272684361</v>
      </c>
      <c r="L149" t="n">
        <v>1.104622125411205</v>
      </c>
      <c r="M149" t="n">
        <v>1.115668346665317</v>
      </c>
      <c r="N149" t="n">
        <v>1.12682503013197</v>
      </c>
      <c r="O149" t="n">
        <v>1.13809328043329</v>
      </c>
      <c r="P149" t="n">
        <v>1.149474213237622</v>
      </c>
      <c r="Q149" t="n">
        <v>1.160968955369999</v>
      </c>
      <c r="R149" t="n">
        <v>1.172578644923699</v>
      </c>
      <c r="S149" t="n">
        <v>1.184304431372936</v>
      </c>
      <c r="T149" t="n">
        <v>1.196147475686665</v>
      </c>
      <c r="U149" t="n">
        <v>1.208108950443532</v>
      </c>
      <c r="V149" t="n">
        <v>1.220190039947967</v>
      </c>
      <c r="W149" t="n">
        <v>1.232391940347447</v>
      </c>
      <c r="X149" t="n">
        <v>1.244715859750921</v>
      </c>
      <c r="Y149" t="n">
        <v>1.257163018348431</v>
      </c>
      <c r="Z149" t="n">
        <v>1.269734648531915</v>
      </c>
      <c r="AA149" t="n">
        <v>1.282431995017234</v>
      </c>
      <c r="AB149" t="n">
        <v>1.295256314967406</v>
      </c>
      <c r="AC149" t="n">
        <v>1.30820887811708</v>
      </c>
      <c r="AD149" t="n">
        <v>1.321290966898251</v>
      </c>
      <c r="AE149" t="n">
        <v>1.334503876567234</v>
      </c>
      <c r="AF149" t="n">
        <v>1.347848915332906</v>
      </c>
      <c r="AG149" t="n">
        <v>1.361327404486235</v>
      </c>
      <c r="AH149" t="n">
        <v>1.374940678531098</v>
      </c>
      <c r="AI149" t="n">
        <v>1.388690085316409</v>
      </c>
      <c r="AJ149" t="n">
        <v>1.402576986169573</v>
      </c>
      <c r="AK149" t="n">
        <v>1.416602756031269</v>
      </c>
      <c r="AL149" t="n">
        <v>1.430768783591581</v>
      </c>
      <c r="AM149" t="n">
        <v>1.445076471427497</v>
      </c>
      <c r="AN149" t="n">
        <v>1.459527236141772</v>
      </c>
      <c r="AO149" t="n">
        <v>1.47412250850319</v>
      </c>
      <c r="AP149" t="n">
        <v>1.488863733588222</v>
      </c>
      <c r="AQ149" t="n">
        <v>1.503752370924104</v>
      </c>
      <c r="AR149" t="n">
        <v>1.518789894633345</v>
      </c>
      <c r="AS149" t="n">
        <v>1.533977793579679</v>
      </c>
      <c r="AT149" t="n">
        <v>1.549317571515475</v>
      </c>
      <c r="AU149" t="n">
        <v>1.56481074723063</v>
      </c>
      <c r="AV149" t="n">
        <v>1.580458854702937</v>
      </c>
      <c r="AW149" t="n">
        <v>1.596263443249966</v>
      </c>
      <c r="AX149" t="n">
        <v>1.612226077682466</v>
      </c>
      <c r="AY149" t="n">
        <v>1.628348338459291</v>
      </c>
      <c r="AZ149" t="n">
        <v>1.644631821843883</v>
      </c>
      <c r="BA149" t="n">
        <v>1.661078140062322</v>
      </c>
      <c r="BB149" t="n">
        <v>1.677688921462946</v>
      </c>
      <c r="BC149" t="n">
        <v>1.694465810677575</v>
      </c>
      <c r="BD149" t="n">
        <v>1.711410468784351</v>
      </c>
      <c r="BE149" t="n">
        <v>1.728524573472194</v>
      </c>
      <c r="BF149" t="n">
        <v>1.745809819206916</v>
      </c>
      <c r="BG149" t="n">
        <v>1.763267917398985</v>
      </c>
      <c r="BH149" t="n">
        <v>1.780900596572975</v>
      </c>
      <c r="BI149" t="n">
        <v>1.798709602538705</v>
      </c>
    </row>
    <row r="150" hidden="1" outlineLevel="2" ht="18" customHeight="1">
      <c r="A150" s="519" t="inlineStr">
        <is>
          <t>6. EBITDA ANUAL — 3 ESCENARIOS</t>
        </is>
      </c>
      <c r="B150">
        <f t="array" ref="B150:BI150">_xlfn.LET(_xlpm.x,_xlfn.ANCHORARRAY(B149)-1,_xlfn.ANCHORARRAY(B145)*$DB$140+_xlfn.ANCHORARRAY(B145)*IF(_xlpm.x&gt;0,_xlpm.x,0)*$DC$140)</f>
        <v/>
      </c>
      <c r="C150" t="n">
        <v>2012</v>
      </c>
      <c r="D150" t="n">
        <v>3036.18</v>
      </c>
      <c r="E150" t="n">
        <v>4072.7224</v>
      </c>
      <c r="F150" t="n">
        <v>5121.81203</v>
      </c>
      <c r="G150" t="n">
        <v>7214.24221042</v>
      </c>
      <c r="H150" t="n">
        <v>10369.120903606</v>
      </c>
      <c r="I150" t="n">
        <v>14605.93695769888</v>
      </c>
      <c r="J150" t="n">
        <v>18894.85242078326</v>
      </c>
      <c r="K150" t="n">
        <v>21124.22327221233</v>
      </c>
      <c r="L150" t="n">
        <v>23381.0120554279</v>
      </c>
      <c r="M150" t="n">
        <v>24596.22318398137</v>
      </c>
      <c r="N150" t="n">
        <v>30130.66050621709</v>
      </c>
      <c r="O150" t="n">
        <v>35734.24695257913</v>
      </c>
      <c r="P150" t="n">
        <v>41408.01206181779</v>
      </c>
      <c r="Q150" t="n">
        <v>43863.25492887997</v>
      </c>
      <c r="R150" t="n">
        <v>46348.9818520772</v>
      </c>
      <c r="S150" t="n">
        <v>48865.6369882455</v>
      </c>
      <c r="T150" t="n">
        <v>51413.67032895196</v>
      </c>
      <c r="U150" t="n">
        <v>52868.67240250759</v>
      </c>
      <c r="V150" t="n">
        <v>55473.58717447023</v>
      </c>
      <c r="W150" t="n">
        <v>58111.19337463187</v>
      </c>
      <c r="X150" t="n">
        <v>60781.9643400793</v>
      </c>
      <c r="Y150" t="n">
        <v>63486.37960549821</v>
      </c>
      <c r="Z150" t="n">
        <v>69710.44734714893</v>
      </c>
      <c r="AA150" t="n">
        <v>76014.84780567212</v>
      </c>
      <c r="AB150" t="n">
        <v>82400.76522863106</v>
      </c>
      <c r="AC150" t="n">
        <v>84129.69820778763</v>
      </c>
      <c r="AD150" t="n">
        <v>87072.54435014341</v>
      </c>
      <c r="AE150" t="n">
        <v>88851.97211958519</v>
      </c>
      <c r="AF150" t="n">
        <v>90653.20118998078</v>
      </c>
      <c r="AG150" t="n">
        <v>91259.73320188059</v>
      </c>
      <c r="AH150" t="n">
        <v>91872.3305338994</v>
      </c>
      <c r="AI150" t="n">
        <v>92491.05383923839</v>
      </c>
      <c r="AJ150" t="n">
        <v>93115.96437763078</v>
      </c>
      <c r="AK150" t="n">
        <v>93747.12402140709</v>
      </c>
      <c r="AL150" t="n">
        <v>94384.59526162116</v>
      </c>
      <c r="AM150" t="n">
        <v>95028.44121423736</v>
      </c>
      <c r="AN150" t="n">
        <v>95678.72562637975</v>
      </c>
      <c r="AO150" t="n">
        <v>96335.51288264355</v>
      </c>
      <c r="AP150" t="n">
        <v>96998.86801146998</v>
      </c>
      <c r="AQ150" t="n">
        <v>97668.85669158469</v>
      </c>
      <c r="AR150" t="n">
        <v>98345.54525850053</v>
      </c>
      <c r="AS150" t="n">
        <v>99029.00071108554</v>
      </c>
      <c r="AT150" t="n">
        <v>99719.2907181964</v>
      </c>
      <c r="AU150" t="n">
        <v>100416.4836253784</v>
      </c>
      <c r="AV150" t="n">
        <v>101120.6484616321</v>
      </c>
      <c r="AW150" t="n">
        <v>101831.8549462485</v>
      </c>
      <c r="AX150" t="n">
        <v>102550.173495711</v>
      </c>
      <c r="AY150" t="n">
        <v>103275.6752306681</v>
      </c>
      <c r="AZ150" t="n">
        <v>104008.4319829748</v>
      </c>
      <c r="BA150" t="n">
        <v>104748.5163028045</v>
      </c>
      <c r="BB150" t="n">
        <v>105496.0014658326</v>
      </c>
      <c r="BC150" t="n">
        <v>106250.9614804909</v>
      </c>
      <c r="BD150" t="n">
        <v>107013.4710952958</v>
      </c>
      <c r="BE150" t="n">
        <v>107783.6058062488</v>
      </c>
      <c r="BF150" t="n">
        <v>108561.4418643112</v>
      </c>
      <c r="BG150" t="n">
        <v>109347.0562829543</v>
      </c>
      <c r="BH150" t="n">
        <v>110140.5268457839</v>
      </c>
      <c r="BI150" t="n">
        <v>110941.9321142417</v>
      </c>
    </row>
    <row r="151" hidden="1" outlineLevel="2">
      <c r="A151" s="530" t="inlineStr">
        <is>
          <t>Año</t>
        </is>
      </c>
      <c r="B151">
        <f t="array" ref="B151:BI151">_xlfn.ANCHORARRAY(B148)*$BS$140</f>
        <v/>
      </c>
      <c r="C151" t="n">
        <v>489.6196874999999</v>
      </c>
      <c r="D151" t="n">
        <v>979.2393749999999</v>
      </c>
      <c r="E151" t="n">
        <v>1550.46234375</v>
      </c>
      <c r="F151" t="n">
        <v>2284.891875</v>
      </c>
      <c r="G151" t="n">
        <v>3345.73453125</v>
      </c>
      <c r="H151" t="n">
        <v>4814.59359375</v>
      </c>
      <c r="I151" t="n">
        <v>6854.675624999999</v>
      </c>
      <c r="J151" t="n">
        <v>9465.980624999998</v>
      </c>
      <c r="K151" t="n">
        <v>12240.4921875</v>
      </c>
      <c r="L151" t="n">
        <v>15178.2103125</v>
      </c>
      <c r="M151" t="n">
        <v>18197.53171875</v>
      </c>
      <c r="N151" t="n">
        <v>21869.679375</v>
      </c>
      <c r="O151" t="n">
        <v>26194.65328125</v>
      </c>
      <c r="P151" t="n">
        <v>31090.85015625</v>
      </c>
      <c r="Q151" t="n">
        <v>36068.65031249999</v>
      </c>
      <c r="R151" t="n">
        <v>41128.05375</v>
      </c>
      <c r="S151" t="n">
        <v>46269.06046874999</v>
      </c>
      <c r="T151" t="n">
        <v>51491.67046875</v>
      </c>
      <c r="U151" t="n">
        <v>56551.07390624999</v>
      </c>
      <c r="V151" t="n">
        <v>61692.080625</v>
      </c>
      <c r="W151" t="n">
        <v>66914.69062499999</v>
      </c>
      <c r="X151" t="n">
        <v>72218.90390624999</v>
      </c>
      <c r="Y151" t="n">
        <v>77604.72046874999</v>
      </c>
      <c r="Z151" t="n">
        <v>83480.15671874999</v>
      </c>
      <c r="AA151" t="n">
        <v>89926.8159375</v>
      </c>
      <c r="AB151" t="n">
        <v>96863.09484374999</v>
      </c>
      <c r="AC151" t="n">
        <v>103636.1671875</v>
      </c>
      <c r="AD151" t="n">
        <v>110327.63625</v>
      </c>
      <c r="AE151" t="n">
        <v>116855.89875</v>
      </c>
      <c r="AF151" t="n">
        <v>123220.9546875</v>
      </c>
      <c r="AG151" t="n">
        <v>129259.5975</v>
      </c>
      <c r="AH151" t="n">
        <v>135053.43046875</v>
      </c>
      <c r="AI151" t="n">
        <v>140520.8503125</v>
      </c>
      <c r="AJ151" t="n">
        <v>145743.4603125</v>
      </c>
      <c r="AK151" t="n">
        <v>150721.26046875</v>
      </c>
      <c r="AL151" t="n">
        <v>155454.25078125</v>
      </c>
      <c r="AM151" t="n">
        <v>159942.43125</v>
      </c>
      <c r="AN151" t="n">
        <v>164185.801875</v>
      </c>
      <c r="AO151" t="n">
        <v>168184.36265625</v>
      </c>
      <c r="AP151" t="n">
        <v>172019.716875</v>
      </c>
      <c r="AQ151" t="n">
        <v>175691.86453125</v>
      </c>
      <c r="AR151" t="n">
        <v>179119.20234375</v>
      </c>
      <c r="AS151" t="n">
        <v>182383.33359375</v>
      </c>
      <c r="AT151" t="n">
        <v>185484.25828125</v>
      </c>
      <c r="AU151" t="n">
        <v>188421.97640625</v>
      </c>
      <c r="AV151" t="n">
        <v>191278.09125</v>
      </c>
      <c r="AW151" t="n">
        <v>193970.99953125</v>
      </c>
      <c r="AX151" t="n">
        <v>196500.70125</v>
      </c>
      <c r="AY151" t="n">
        <v>198948.7996875</v>
      </c>
      <c r="AZ151" t="n">
        <v>201233.6915625</v>
      </c>
      <c r="BA151" t="n">
        <v>203436.98015625</v>
      </c>
      <c r="BB151" t="n">
        <v>205477.0621875</v>
      </c>
      <c r="BC151" t="n">
        <v>207435.5409375</v>
      </c>
      <c r="BD151" t="n">
        <v>209312.41640625</v>
      </c>
      <c r="BE151" t="n">
        <v>211107.68859375</v>
      </c>
      <c r="BF151" t="n">
        <v>212821.3575</v>
      </c>
      <c r="BG151" t="n">
        <v>214453.423125</v>
      </c>
      <c r="BH151" t="n">
        <v>216003.88546875</v>
      </c>
      <c r="BI151" t="n">
        <v>217472.74453125</v>
      </c>
    </row>
    <row r="152" hidden="1" outlineLevel="2">
      <c r="A152" s="583" t="inlineStr">
        <is>
          <t>Año 1</t>
        </is>
      </c>
      <c r="B152">
        <f t="array" ref="B152:BI152">_xlfn.ANCHORARRAY(B148)*_xlfn.ANCHORARRAY(B149)*$BT$140</f>
        <v/>
      </c>
      <c r="C152" t="n">
        <v>230.65875</v>
      </c>
      <c r="D152" t="n">
        <v>465.930675</v>
      </c>
      <c r="E152" t="n">
        <v>745.1008044375</v>
      </c>
      <c r="F152" t="n">
        <v>1109.0237236575</v>
      </c>
      <c r="G152" t="n">
        <v>1640.166871309181</v>
      </c>
      <c r="H152" t="n">
        <v>2383.842533202783</v>
      </c>
      <c r="I152" t="n">
        <v>3427.884754524137</v>
      </c>
      <c r="J152" t="n">
        <v>4781.08306952438</v>
      </c>
      <c r="K152" t="n">
        <v>6244.259353732273</v>
      </c>
      <c r="L152" t="n">
        <v>7820.310414614299</v>
      </c>
      <c r="M152" t="n">
        <v>9469.72319722354</v>
      </c>
      <c r="N152" t="n">
        <v>11494.46042611869</v>
      </c>
      <c r="O152" t="n">
        <v>13905.29483116396</v>
      </c>
      <c r="P152" t="n">
        <v>16669.45951395702</v>
      </c>
      <c r="Q152" t="n">
        <v>19531.70634178659</v>
      </c>
      <c r="R152" t="n">
        <v>22494.16243489377</v>
      </c>
      <c r="S152" t="n">
        <v>25558.99206664805</v>
      </c>
      <c r="T152" t="n">
        <v>28728.39723808724</v>
      </c>
      <c r="U152" t="n">
        <v>31866.66731989605</v>
      </c>
      <c r="V152" t="n">
        <v>35111.27344701274</v>
      </c>
      <c r="W152" t="n">
        <v>38464.49294816925</v>
      </c>
      <c r="X152" t="n">
        <v>41928.64270941596</v>
      </c>
      <c r="Y152" t="n">
        <v>45506.07978397867</v>
      </c>
      <c r="Z152" t="n">
        <v>49440.84838612017</v>
      </c>
      <c r="AA152" t="n">
        <v>53791.44972699851</v>
      </c>
      <c r="AB152" t="n">
        <v>58519.92317078647</v>
      </c>
      <c r="AC152" t="n">
        <v>63237.99953763084</v>
      </c>
      <c r="AD152" t="n">
        <v>67994.29380206746</v>
      </c>
      <c r="AE152" t="n">
        <v>72737.80104423537</v>
      </c>
      <c r="AF152" t="n">
        <v>77466.77400318671</v>
      </c>
      <c r="AG152" t="n">
        <v>82075.79054387962</v>
      </c>
      <c r="AH152" t="n">
        <v>86612.2396992563</v>
      </c>
      <c r="AI152" t="n">
        <v>91019.7821931967</v>
      </c>
      <c r="AJ152" t="n">
        <v>95346.65755343776</v>
      </c>
      <c r="AK152" t="n">
        <v>99589.21011545998</v>
      </c>
      <c r="AL152" t="n">
        <v>103743.7031524909</v>
      </c>
      <c r="AM152" t="n">
        <v>107806.3174596699</v>
      </c>
      <c r="AN152" t="n">
        <v>111773.1499164002</v>
      </c>
      <c r="AO152" t="n">
        <v>115640.2120265794</v>
      </c>
      <c r="AP152" t="n">
        <v>119460.0983122512</v>
      </c>
      <c r="AQ152" t="n">
        <v>123230.3451531971</v>
      </c>
      <c r="AR152" t="n">
        <v>126890.6241000373</v>
      </c>
      <c r="AS152" t="n">
        <v>130495.0115317627</v>
      </c>
      <c r="AT152" t="n">
        <v>134040.8558495811</v>
      </c>
      <c r="AU152" t="n">
        <v>137525.4463344697</v>
      </c>
      <c r="AV152" t="n">
        <v>141006.1683283139</v>
      </c>
      <c r="AW152" t="n">
        <v>144421.2366627842</v>
      </c>
      <c r="AX152" t="n">
        <v>147767.7750369476</v>
      </c>
      <c r="AY152" t="n">
        <v>151104.8230462953</v>
      </c>
      <c r="AZ152" t="n">
        <v>154368.6376408883</v>
      </c>
      <c r="BA152" t="n">
        <v>157619.3932583625</v>
      </c>
      <c r="BB152" t="n">
        <v>160792.0130552757</v>
      </c>
      <c r="BC152" t="n">
        <v>163947.8277038824</v>
      </c>
      <c r="BD152" t="n">
        <v>167085.5388831877</v>
      </c>
      <c r="BE152" t="n">
        <v>170203.8175367308</v>
      </c>
      <c r="BF152" t="n">
        <v>173301.303323213</v>
      </c>
      <c r="BG152" t="n">
        <v>176376.604058565</v>
      </c>
      <c r="BH152" t="n">
        <v>179428.2951493348</v>
      </c>
      <c r="BI152" t="n">
        <v>182454.9190172675</v>
      </c>
    </row>
    <row r="153" hidden="1" outlineLevel="2">
      <c r="A153" s="584" t="inlineStr">
        <is>
          <t>Año 2</t>
        </is>
      </c>
      <c r="B153">
        <f t="array" ref="B153:BI153">_xlfn.ANCHORARRAY(B148)*($BV$140+_xlfn.ANCHORARRAY(B149)*$BW$140)</f>
        <v/>
      </c>
      <c r="C153" t="n">
        <v>1145.1375</v>
      </c>
      <c r="D153" t="n">
        <v>2296.86525</v>
      </c>
      <c r="E153" t="n">
        <v>3647.242220625</v>
      </c>
      <c r="F153" t="n">
        <v>5390.569605225</v>
      </c>
      <c r="G153" t="n">
        <v>7916.533030441687</v>
      </c>
      <c r="H153" t="n">
        <v>11425.80183314683</v>
      </c>
      <c r="I153" t="n">
        <v>16315.72822074877</v>
      </c>
      <c r="J153" t="n">
        <v>22598.86867074912</v>
      </c>
      <c r="K153" t="n">
        <v>29310.99550533182</v>
      </c>
      <c r="L153" t="n">
        <v>36456.24702087756</v>
      </c>
      <c r="M153" t="n">
        <v>43842.23849603363</v>
      </c>
      <c r="N153" t="n">
        <v>52851.90775159813</v>
      </c>
      <c r="O153" t="n">
        <v>63500.64440166279</v>
      </c>
      <c r="P153" t="n">
        <v>75605.70109136717</v>
      </c>
      <c r="Q153" t="n">
        <v>87986.8126311237</v>
      </c>
      <c r="R153" t="n">
        <v>100647.017764134</v>
      </c>
      <c r="S153" t="n">
        <v>113589.4083094972</v>
      </c>
      <c r="T153" t="n">
        <v>126817.1299829818</v>
      </c>
      <c r="U153" t="n">
        <v>139728.4979569943</v>
      </c>
      <c r="V153" t="n">
        <v>152927.712067161</v>
      </c>
      <c r="W153" t="n">
        <v>166418.0256402418</v>
      </c>
      <c r="X153" t="n">
        <v>180202.7485134514</v>
      </c>
      <c r="Y153" t="n">
        <v>194285.2479056838</v>
      </c>
      <c r="Z153" t="n">
        <v>209693.8459087431</v>
      </c>
      <c r="AA153" t="n">
        <v>226648.0531814264</v>
      </c>
      <c r="AB153" t="n">
        <v>244957.7027439807</v>
      </c>
      <c r="AC153" t="n">
        <v>262980.6243394726</v>
      </c>
      <c r="AD153" t="n">
        <v>280922.205431525</v>
      </c>
      <c r="AE153" t="n">
        <v>298573.6443489077</v>
      </c>
      <c r="AF153" t="n">
        <v>315932.4450045524</v>
      </c>
      <c r="AG153" t="n">
        <v>332576.1293483994</v>
      </c>
      <c r="AH153" t="n">
        <v>348708.3334989376</v>
      </c>
      <c r="AI153" t="n">
        <v>364112.6352759953</v>
      </c>
      <c r="AJ153" t="n">
        <v>378993.8857906254</v>
      </c>
      <c r="AK153" t="n">
        <v>393346.8626649428</v>
      </c>
      <c r="AL153" t="n">
        <v>407166.2277178442</v>
      </c>
      <c r="AM153" t="n">
        <v>420446.5249423854</v>
      </c>
      <c r="AN153" t="n">
        <v>433182.1784520002</v>
      </c>
      <c r="AO153" t="n">
        <v>445367.4903951134</v>
      </c>
      <c r="AP153" t="n">
        <v>457213.5333032159</v>
      </c>
      <c r="AQ153" t="n">
        <v>468716.787718853</v>
      </c>
      <c r="AR153" t="n">
        <v>479655.1326429104</v>
      </c>
      <c r="AS153" t="n">
        <v>490241.7575453754</v>
      </c>
      <c r="AT153" t="n">
        <v>500472.874427973</v>
      </c>
      <c r="AU153" t="n">
        <v>510344.6108349568</v>
      </c>
      <c r="AV153" t="n">
        <v>520074.8833261628</v>
      </c>
      <c r="AW153" t="n">
        <v>529439.4898754061</v>
      </c>
      <c r="AX153" t="n">
        <v>538434.3214813537</v>
      </c>
      <c r="AY153" t="n">
        <v>547279.657923279</v>
      </c>
      <c r="AZ153" t="n">
        <v>555748.5002012691</v>
      </c>
      <c r="BA153" t="n">
        <v>564062.7492976608</v>
      </c>
      <c r="BB153" t="n">
        <v>571993.500793251</v>
      </c>
      <c r="BC153" t="n">
        <v>579764.3074341178</v>
      </c>
      <c r="BD153" t="n">
        <v>587373.3144759823</v>
      </c>
      <c r="BE153" t="n">
        <v>594818.6232667583</v>
      </c>
      <c r="BF153" t="n">
        <v>602098.2904617328</v>
      </c>
      <c r="BG153" t="n">
        <v>609210.3272265216</v>
      </c>
      <c r="BH153" t="n">
        <v>616152.6984276212</v>
      </c>
      <c r="BI153" t="n">
        <v>622923.3218103821</v>
      </c>
    </row>
    <row r="154" hidden="1" outlineLevel="2">
      <c r="A154" s="583" t="inlineStr">
        <is>
          <t>Año 3</t>
        </is>
      </c>
      <c r="B154">
        <f t="array" ref="B154:BI154">_xlfn.ANCHORARRAY(B150)+_xlfn.ANCHORARRAY(B151)+_xlfn.ANCHORARRAY(B152)+_xlfn.ANCHORARRAY(B153)+_xlfn.ANCHORARRAY(B146)*Escenarios!$D$31*'Supuestos Generales'!$B$60</f>
        <v/>
      </c>
      <c r="C154" t="n">
        <v>3892.4159375</v>
      </c>
      <c r="D154" t="n">
        <v>6808.215299999999</v>
      </c>
      <c r="E154" t="n">
        <v>10063.0277688125</v>
      </c>
      <c r="F154" t="n">
        <v>13976.2972338825</v>
      </c>
      <c r="G154" t="n">
        <v>20219.17664342087</v>
      </c>
      <c r="H154" t="n">
        <v>29140.85886370562</v>
      </c>
      <c r="I154" t="n">
        <v>41414.22555797179</v>
      </c>
      <c r="J154" t="n">
        <v>56030.78478605676</v>
      </c>
      <c r="K154" t="n">
        <v>69294.97031877642</v>
      </c>
      <c r="L154" t="n">
        <v>83300.77980341976</v>
      </c>
      <c r="M154" t="n">
        <v>96663.21659598853</v>
      </c>
      <c r="N154" t="n">
        <v>117016.7080589339</v>
      </c>
      <c r="O154" t="n">
        <v>140137.3394666559</v>
      </c>
      <c r="P154" t="n">
        <v>165726.522823392</v>
      </c>
      <c r="Q154" t="n">
        <v>188555.4242142903</v>
      </c>
      <c r="R154" t="n">
        <v>211878.2158011049</v>
      </c>
      <c r="S154" t="n">
        <v>235700.5978331408</v>
      </c>
      <c r="T154" t="n">
        <v>260028.368018771</v>
      </c>
      <c r="U154" t="n">
        <v>282747.411585648</v>
      </c>
      <c r="V154" t="n">
        <v>307094.653313644</v>
      </c>
      <c r="W154" t="n">
        <v>331958.4025880429</v>
      </c>
      <c r="X154" t="n">
        <v>357344.7594691967</v>
      </c>
      <c r="Y154" t="n">
        <v>383259.9277639107</v>
      </c>
      <c r="Z154" t="n">
        <v>414882.7983607622</v>
      </c>
      <c r="AA154" t="n">
        <v>449136.1666515971</v>
      </c>
      <c r="AB154" t="n">
        <v>485708.9859871482</v>
      </c>
      <c r="AC154" t="n">
        <v>517159.4892723911</v>
      </c>
      <c r="AD154" t="n">
        <v>549696.6798337358</v>
      </c>
      <c r="AE154" t="n">
        <v>580599.3162627283</v>
      </c>
      <c r="AF154" t="n">
        <v>611048.3748852198</v>
      </c>
      <c r="AG154" t="n">
        <v>639131.2505941596</v>
      </c>
      <c r="AH154" t="n">
        <v>666383.8342008432</v>
      </c>
      <c r="AI154" t="n">
        <v>692449.3216209305</v>
      </c>
      <c r="AJ154" t="n">
        <v>717664.9680341939</v>
      </c>
      <c r="AK154" t="n">
        <v>742021.9572705599</v>
      </c>
      <c r="AL154" t="n">
        <v>765511.2769132063</v>
      </c>
      <c r="AM154" t="n">
        <v>788123.7148662927</v>
      </c>
      <c r="AN154" t="n">
        <v>809849.8558697801</v>
      </c>
      <c r="AO154" t="n">
        <v>830680.0779605864</v>
      </c>
      <c r="AP154" t="n">
        <v>850962.216501937</v>
      </c>
      <c r="AQ154" t="n">
        <v>870690.3540948848</v>
      </c>
      <c r="AR154" t="n">
        <v>889498.0043451983</v>
      </c>
      <c r="AS154" t="n">
        <v>907736.6033819737</v>
      </c>
      <c r="AT154" t="n">
        <v>925399.7792770006</v>
      </c>
      <c r="AU154" t="n">
        <v>942481.0172010547</v>
      </c>
      <c r="AV154" t="n">
        <v>959339.7913661089</v>
      </c>
      <c r="AW154" t="n">
        <v>975606.0810156888</v>
      </c>
      <c r="AX154" t="n">
        <v>991272.9712640122</v>
      </c>
      <c r="AY154" t="n">
        <v>1006703.955887742</v>
      </c>
      <c r="AZ154" t="n">
        <v>1021524.261387632</v>
      </c>
      <c r="BA154" t="n">
        <v>1036100.139015078</v>
      </c>
      <c r="BB154" t="n">
        <v>1050053.577501859</v>
      </c>
      <c r="BC154" t="n">
        <v>1063753.637555991</v>
      </c>
      <c r="BD154" t="n">
        <v>1077197.240860716</v>
      </c>
      <c r="BE154" t="n">
        <v>1090381.235203488</v>
      </c>
      <c r="BF154" t="n">
        <v>1103302.393149257</v>
      </c>
      <c r="BG154" t="n">
        <v>1115957.410693041</v>
      </c>
      <c r="BH154" t="n">
        <v>1128342.90589149</v>
      </c>
      <c r="BI154" t="n">
        <v>1140455.417473141</v>
      </c>
    </row>
    <row r="155" hidden="1" outlineLevel="2">
      <c r="A155" s="584" t="inlineStr">
        <is>
          <t>Año 4</t>
        </is>
      </c>
      <c r="B155">
        <f t="array" ref="B155:BI155">(_xlfn.ANCHORARRAY(B142)+_xlfn.ANCHORARRAY(B143))*$BP$140*$BR$140</f>
        <v/>
      </c>
      <c r="C155" t="n">
        <v>10.875</v>
      </c>
      <c r="D155" t="n">
        <v>21.75</v>
      </c>
      <c r="E155" t="n">
        <v>21.75</v>
      </c>
      <c r="F155" t="n">
        <v>32.625</v>
      </c>
      <c r="G155" t="n">
        <v>43.5</v>
      </c>
      <c r="H155" t="n">
        <v>54.375</v>
      </c>
      <c r="I155" t="n">
        <v>87</v>
      </c>
      <c r="J155" t="n">
        <v>119.625</v>
      </c>
      <c r="K155" t="n">
        <v>141.375</v>
      </c>
      <c r="L155" t="n">
        <v>152.25</v>
      </c>
      <c r="M155" t="n">
        <v>163.125</v>
      </c>
      <c r="N155" t="n">
        <v>174</v>
      </c>
      <c r="O155" t="n">
        <v>217.5</v>
      </c>
      <c r="P155" t="n">
        <v>271.875</v>
      </c>
      <c r="Q155" t="n">
        <v>282.75</v>
      </c>
      <c r="R155" t="n">
        <v>293.625</v>
      </c>
      <c r="S155" t="n">
        <v>315.375</v>
      </c>
      <c r="T155" t="n">
        <v>326.25</v>
      </c>
      <c r="U155" t="n">
        <v>337.125</v>
      </c>
      <c r="V155" t="n">
        <v>348</v>
      </c>
      <c r="W155" t="n">
        <v>358.875</v>
      </c>
      <c r="X155" t="n">
        <v>380.625</v>
      </c>
      <c r="Y155" t="n">
        <v>391.5</v>
      </c>
      <c r="Z155" t="n">
        <v>402.375</v>
      </c>
      <c r="AA155" t="n">
        <v>456.75</v>
      </c>
      <c r="AB155" t="n">
        <v>500.25</v>
      </c>
      <c r="AC155" t="n">
        <v>511.125</v>
      </c>
      <c r="AD155" t="n">
        <v>522</v>
      </c>
      <c r="AE155" t="n">
        <v>532.875</v>
      </c>
      <c r="AF155" t="n">
        <v>543.75</v>
      </c>
      <c r="AG155" t="n">
        <v>543.75</v>
      </c>
      <c r="AH155" t="n">
        <v>543.75</v>
      </c>
      <c r="AI155" t="n">
        <v>543.75</v>
      </c>
      <c r="AJ155" t="n">
        <v>543.75</v>
      </c>
      <c r="AK155" t="n">
        <v>543.75</v>
      </c>
      <c r="AL155" t="n">
        <v>543.75</v>
      </c>
      <c r="AM155" t="n">
        <v>543.75</v>
      </c>
      <c r="AN155" t="n">
        <v>543.75</v>
      </c>
      <c r="AO155" t="n">
        <v>543.75</v>
      </c>
      <c r="AP155" t="n">
        <v>543.75</v>
      </c>
      <c r="AQ155" t="n">
        <v>543.75</v>
      </c>
      <c r="AR155" t="n">
        <v>543.75</v>
      </c>
      <c r="AS155" t="n">
        <v>543.75</v>
      </c>
      <c r="AT155" t="n">
        <v>543.75</v>
      </c>
      <c r="AU155" t="n">
        <v>543.75</v>
      </c>
      <c r="AV155" t="n">
        <v>543.75</v>
      </c>
      <c r="AW155" t="n">
        <v>543.75</v>
      </c>
      <c r="AX155" t="n">
        <v>543.75</v>
      </c>
      <c r="AY155" t="n">
        <v>543.75</v>
      </c>
      <c r="AZ155" t="n">
        <v>543.75</v>
      </c>
      <c r="BA155" t="n">
        <v>543.75</v>
      </c>
      <c r="BB155" t="n">
        <v>543.75</v>
      </c>
      <c r="BC155" t="n">
        <v>543.75</v>
      </c>
      <c r="BD155" t="n">
        <v>543.75</v>
      </c>
      <c r="BE155" t="n">
        <v>543.75</v>
      </c>
      <c r="BF155" t="n">
        <v>543.75</v>
      </c>
      <c r="BG155" t="n">
        <v>543.75</v>
      </c>
      <c r="BH155" t="n">
        <v>543.75</v>
      </c>
      <c r="BI155" t="n">
        <v>543.75</v>
      </c>
    </row>
    <row r="156" hidden="1" outlineLevel="2">
      <c r="A156" s="585" t="inlineStr">
        <is>
          <t>Año 5</t>
        </is>
      </c>
      <c r="B156">
        <f t="array" ref="B156:BI156">FLOOR(_xlfn.ANCHORARRAY(B155)/$CR$140,1)</f>
        <v/>
      </c>
      <c r="C156" t="n">
        <v>2</v>
      </c>
      <c r="D156" t="n">
        <v>4</v>
      </c>
      <c r="E156" t="n">
        <v>4</v>
      </c>
      <c r="F156" t="n">
        <v>6</v>
      </c>
      <c r="G156" t="n">
        <v>8</v>
      </c>
      <c r="H156" t="n">
        <v>10</v>
      </c>
      <c r="I156" t="n">
        <v>17</v>
      </c>
      <c r="J156" t="n">
        <v>23</v>
      </c>
      <c r="K156" t="n">
        <v>28</v>
      </c>
      <c r="L156" t="n">
        <v>30</v>
      </c>
      <c r="M156" t="n">
        <v>32</v>
      </c>
      <c r="N156" t="n">
        <v>34</v>
      </c>
      <c r="O156" t="n">
        <v>43</v>
      </c>
      <c r="P156" t="n">
        <v>54</v>
      </c>
      <c r="Q156" t="n">
        <v>56</v>
      </c>
      <c r="R156" t="n">
        <v>58</v>
      </c>
      <c r="S156" t="n">
        <v>63</v>
      </c>
      <c r="T156" t="n">
        <v>65</v>
      </c>
      <c r="U156" t="n">
        <v>67</v>
      </c>
      <c r="V156" t="n">
        <v>69</v>
      </c>
      <c r="W156" t="n">
        <v>71</v>
      </c>
      <c r="X156" t="n">
        <v>76</v>
      </c>
      <c r="Y156" t="n">
        <v>78</v>
      </c>
      <c r="Z156" t="n">
        <v>80</v>
      </c>
      <c r="AA156" t="n">
        <v>91</v>
      </c>
      <c r="AB156" t="n">
        <v>100</v>
      </c>
      <c r="AC156" t="n">
        <v>102</v>
      </c>
      <c r="AD156" t="n">
        <v>104</v>
      </c>
      <c r="AE156" t="n">
        <v>106</v>
      </c>
      <c r="AF156" t="n">
        <v>108</v>
      </c>
      <c r="AG156" t="n">
        <v>108</v>
      </c>
      <c r="AH156" t="n">
        <v>108</v>
      </c>
      <c r="AI156" t="n">
        <v>108</v>
      </c>
      <c r="AJ156" t="n">
        <v>108</v>
      </c>
      <c r="AK156" t="n">
        <v>108</v>
      </c>
      <c r="AL156" t="n">
        <v>108</v>
      </c>
      <c r="AM156" t="n">
        <v>108</v>
      </c>
      <c r="AN156" t="n">
        <v>108</v>
      </c>
      <c r="AO156" t="n">
        <v>108</v>
      </c>
      <c r="AP156" t="n">
        <v>108</v>
      </c>
      <c r="AQ156" t="n">
        <v>108</v>
      </c>
      <c r="AR156" t="n">
        <v>108</v>
      </c>
      <c r="AS156" t="n">
        <v>108</v>
      </c>
      <c r="AT156" t="n">
        <v>108</v>
      </c>
      <c r="AU156" t="n">
        <v>108</v>
      </c>
      <c r="AV156" t="n">
        <v>108</v>
      </c>
      <c r="AW156" t="n">
        <v>108</v>
      </c>
      <c r="AX156" t="n">
        <v>108</v>
      </c>
      <c r="AY156" t="n">
        <v>108</v>
      </c>
      <c r="AZ156" t="n">
        <v>108</v>
      </c>
      <c r="BA156" t="n">
        <v>108</v>
      </c>
      <c r="BB156" t="n">
        <v>108</v>
      </c>
      <c r="BC156" t="n">
        <v>108</v>
      </c>
      <c r="BD156" t="n">
        <v>108</v>
      </c>
      <c r="BE156" t="n">
        <v>108</v>
      </c>
      <c r="BF156" t="n">
        <v>108</v>
      </c>
      <c r="BG156" t="n">
        <v>108</v>
      </c>
      <c r="BH156" t="n">
        <v>108</v>
      </c>
      <c r="BI156" t="n">
        <v>108</v>
      </c>
    </row>
    <row r="157" hidden="1" outlineLevel="2">
      <c r="A157" t="inlineStr">
        <is>
          <t>Free Active</t>
        </is>
      </c>
      <c r="B157">
        <f t="array" ref="B157:BI157">_xlfn.LET(_xlpm.cum,_xlfn.SCAN(0,_xlfn.ANCHORARRAY(B156),_xlfn.LAMBDA(_xlpm.a,_xlpm.v,_xlpm.a+_xlpm.v)),_xlfn.HSTACK(_xlfn.TAKE(_xlpm.cum,,12),_xlfn.DROP(_xlpm.cum,,12)-_xlfn.TAKE(_xlpm.cum,,48)))</f>
        <v/>
      </c>
      <c r="C157" t="n">
        <v>2</v>
      </c>
      <c r="D157" t="n">
        <v>6</v>
      </c>
      <c r="E157" t="n">
        <v>10</v>
      </c>
      <c r="F157" t="n">
        <v>16</v>
      </c>
      <c r="G157" t="n">
        <v>24</v>
      </c>
      <c r="H157" t="n">
        <v>34</v>
      </c>
      <c r="I157" t="n">
        <v>51</v>
      </c>
      <c r="J157" t="n">
        <v>74</v>
      </c>
      <c r="K157" t="n">
        <v>102</v>
      </c>
      <c r="L157" t="n">
        <v>132</v>
      </c>
      <c r="M157" t="n">
        <v>164</v>
      </c>
      <c r="N157" t="n">
        <v>198</v>
      </c>
      <c r="O157" t="n">
        <v>239</v>
      </c>
      <c r="P157" t="n">
        <v>289</v>
      </c>
      <c r="Q157" t="n">
        <v>341</v>
      </c>
      <c r="R157" t="n">
        <v>393</v>
      </c>
      <c r="S157" t="n">
        <v>448</v>
      </c>
      <c r="T157" t="n">
        <v>503</v>
      </c>
      <c r="U157" t="n">
        <v>553</v>
      </c>
      <c r="V157" t="n">
        <v>599</v>
      </c>
      <c r="W157" t="n">
        <v>642</v>
      </c>
      <c r="X157" t="n">
        <v>688</v>
      </c>
      <c r="Y157" t="n">
        <v>734</v>
      </c>
      <c r="Z157" t="n">
        <v>780</v>
      </c>
      <c r="AA157" t="n">
        <v>828</v>
      </c>
      <c r="AB157" t="n">
        <v>874</v>
      </c>
      <c r="AC157" t="n">
        <v>920</v>
      </c>
      <c r="AD157" t="n">
        <v>966</v>
      </c>
      <c r="AE157" t="n">
        <v>1009</v>
      </c>
      <c r="AF157" t="n">
        <v>1052</v>
      </c>
      <c r="AG157" t="n">
        <v>1093</v>
      </c>
      <c r="AH157" t="n">
        <v>1132</v>
      </c>
      <c r="AI157" t="n">
        <v>1169</v>
      </c>
      <c r="AJ157" t="n">
        <v>1201</v>
      </c>
      <c r="AK157" t="n">
        <v>1231</v>
      </c>
      <c r="AL157" t="n">
        <v>1259</v>
      </c>
      <c r="AM157" t="n">
        <v>1276</v>
      </c>
      <c r="AN157" t="n">
        <v>1284</v>
      </c>
      <c r="AO157" t="n">
        <v>1290</v>
      </c>
      <c r="AP157" t="n">
        <v>1294</v>
      </c>
      <c r="AQ157" t="n">
        <v>1296</v>
      </c>
      <c r="AR157" t="n">
        <v>1296</v>
      </c>
      <c r="AS157" t="n">
        <v>1296</v>
      </c>
      <c r="AT157" t="n">
        <v>1296</v>
      </c>
      <c r="AU157" t="n">
        <v>1296</v>
      </c>
      <c r="AV157" t="n">
        <v>1296</v>
      </c>
      <c r="AW157" t="n">
        <v>1296</v>
      </c>
      <c r="AX157" t="n">
        <v>1296</v>
      </c>
      <c r="AY157" t="n">
        <v>1296</v>
      </c>
      <c r="AZ157" t="n">
        <v>1296</v>
      </c>
      <c r="BA157" t="n">
        <v>1296</v>
      </c>
      <c r="BB157" t="n">
        <v>1296</v>
      </c>
      <c r="BC157" t="n">
        <v>1296</v>
      </c>
      <c r="BD157" t="n">
        <v>1296</v>
      </c>
      <c r="BE157" t="n">
        <v>1296</v>
      </c>
      <c r="BF157" t="n">
        <v>1296</v>
      </c>
      <c r="BG157" t="n">
        <v>1296</v>
      </c>
      <c r="BH157" t="n">
        <v>1296</v>
      </c>
      <c r="BI157" t="n">
        <v>1296</v>
      </c>
    </row>
    <row r="158" hidden="1" outlineLevel="2" ht="18" customHeight="1">
      <c r="A158" s="519" t="inlineStr">
        <is>
          <t>7. MÉTRICAS CLAVE PARA VALUACIÓN</t>
        </is>
      </c>
      <c r="B158">
        <f t="array" ref="B158:BI158">_xlfn.ANCHORARRAY(B157)*$BS$140</f>
        <v/>
      </c>
      <c r="C158" t="n">
        <v>30.015</v>
      </c>
      <c r="D158" t="n">
        <v>90.04499999999999</v>
      </c>
      <c r="E158" t="n">
        <v>150.075</v>
      </c>
      <c r="F158" t="n">
        <v>240.12</v>
      </c>
      <c r="G158" t="n">
        <v>360.1799999999999</v>
      </c>
      <c r="H158" t="n">
        <v>510.2549999999999</v>
      </c>
      <c r="I158" t="n">
        <v>765.3824999999999</v>
      </c>
      <c r="J158" t="n">
        <v>1110.555</v>
      </c>
      <c r="K158" t="n">
        <v>1530.765</v>
      </c>
      <c r="L158" t="n">
        <v>1980.99</v>
      </c>
      <c r="M158" t="n">
        <v>2461.23</v>
      </c>
      <c r="N158" t="n">
        <v>2971.485</v>
      </c>
      <c r="O158" t="n">
        <v>3586.7925</v>
      </c>
      <c r="P158" t="n">
        <v>4337.1675</v>
      </c>
      <c r="Q158" t="n">
        <v>5117.5575</v>
      </c>
      <c r="R158" t="n">
        <v>5897.947499999999</v>
      </c>
      <c r="S158" t="n">
        <v>6723.36</v>
      </c>
      <c r="T158" t="n">
        <v>7548.772499999999</v>
      </c>
      <c r="U158" t="n">
        <v>8299.147499999999</v>
      </c>
      <c r="V158" t="n">
        <v>8989.492499999998</v>
      </c>
      <c r="W158" t="n">
        <v>9634.814999999999</v>
      </c>
      <c r="X158" t="n">
        <v>10325.16</v>
      </c>
      <c r="Y158" t="n">
        <v>11015.505</v>
      </c>
      <c r="Z158" t="n">
        <v>11705.85</v>
      </c>
      <c r="AA158" t="n">
        <v>12426.21</v>
      </c>
      <c r="AB158" t="n">
        <v>13116.555</v>
      </c>
      <c r="AC158" t="n">
        <v>13806.9</v>
      </c>
      <c r="AD158" t="n">
        <v>14497.245</v>
      </c>
      <c r="AE158" t="n">
        <v>15142.5675</v>
      </c>
      <c r="AF158" t="n">
        <v>15787.89</v>
      </c>
      <c r="AG158" t="n">
        <v>16403.1975</v>
      </c>
      <c r="AH158" t="n">
        <v>16988.49</v>
      </c>
      <c r="AI158" t="n">
        <v>17543.7675</v>
      </c>
      <c r="AJ158" t="n">
        <v>18024.0075</v>
      </c>
      <c r="AK158" t="n">
        <v>18474.2325</v>
      </c>
      <c r="AL158" t="n">
        <v>18894.4425</v>
      </c>
      <c r="AM158" t="n">
        <v>19149.57</v>
      </c>
      <c r="AN158" t="n">
        <v>19269.63</v>
      </c>
      <c r="AO158" t="n">
        <v>19359.675</v>
      </c>
      <c r="AP158" t="n">
        <v>19419.705</v>
      </c>
      <c r="AQ158" t="n">
        <v>19449.72</v>
      </c>
      <c r="AR158" t="n">
        <v>19449.72</v>
      </c>
      <c r="AS158" t="n">
        <v>19449.72</v>
      </c>
      <c r="AT158" t="n">
        <v>19449.72</v>
      </c>
      <c r="AU158" t="n">
        <v>19449.72</v>
      </c>
      <c r="AV158" t="n">
        <v>19449.72</v>
      </c>
      <c r="AW158" t="n">
        <v>19449.72</v>
      </c>
      <c r="AX158" t="n">
        <v>19449.72</v>
      </c>
      <c r="AY158" t="n">
        <v>19449.72</v>
      </c>
      <c r="AZ158" t="n">
        <v>19449.72</v>
      </c>
      <c r="BA158" t="n">
        <v>19449.72</v>
      </c>
      <c r="BB158" t="n">
        <v>19449.72</v>
      </c>
      <c r="BC158" t="n">
        <v>19449.72</v>
      </c>
      <c r="BD158" t="n">
        <v>19449.72</v>
      </c>
      <c r="BE158" t="n">
        <v>19449.72</v>
      </c>
      <c r="BF158" t="n">
        <v>19449.72</v>
      </c>
      <c r="BG158" t="n">
        <v>19449.72</v>
      </c>
      <c r="BH158" t="n">
        <v>19449.72</v>
      </c>
      <c r="BI158" t="n">
        <v>19449.72</v>
      </c>
    </row>
    <row r="159" hidden="1" outlineLevel="2">
      <c r="A159" s="522" t="inlineStr">
        <is>
          <t>Rondas pre-seed/seed en LATAM SaaS típicamente valúan entre 0.5x y 3x ARR (sin tracción) y 3x–8x ARR (con tracción + anchor investor).</t>
        </is>
      </c>
      <c r="B159">
        <f t="array" ref="B159:BI159">_xlfn.ANCHORARRAY(B148)*'Supuestos Generales'!$B$69+_xlfn.ANCHORARRAY(B153)*$BX$140*(1-$BZ$140)+_xlfn.ANCHORARRAY(B148)*'Supuestos Generales'!$B$71+_xlfn.ANCHORARRAY(B146)*$CC$140+_xlfn.ANCHORARRAY(B148)*'Supuestos Generales'!$B$77+CEILING(_xlfn.ANCHORARRAY(B146)/$CD$140,1)*'Supuestos Generales'!$B$81+CEILING(_xlfn.ANCHORARRAY(B146)/$CE$140,1)*'Supuestos Generales'!$B$74+$CY$140*(1.1^(CEILING(_xlfn.SEQUENCE(1,60)/12,1)-1))+'Supuestos Generales'!$B$86+_xlfn.ANCHORARRAY(B158)+_xlfn.ANCHORARRAY(B153)*$CV$140+$DA$140*(_xlfn.ANCHORARRAY(B151)+_xlfn.ANCHORARRAY(B152)+_xlfn.ANCHORARRAY(B146)*Escenarios!$D$31*'Supuestos Generales'!$B$60+_xlfn.ANCHORARRAY(B153)+_xlfn.ANCHORARRAY(B153)*$BX$140*$BY$140)</f>
        <v/>
      </c>
      <c r="C159" t="n">
        <v>6024.6893353125</v>
      </c>
      <c r="D159" t="n">
        <v>7468.45472355</v>
      </c>
      <c r="E159" t="n">
        <v>9148.999696090063</v>
      </c>
      <c r="F159" t="n">
        <v>11329.11995655043</v>
      </c>
      <c r="G159" t="n">
        <v>14475.37316794097</v>
      </c>
      <c r="H159" t="n">
        <v>19826.39681547639</v>
      </c>
      <c r="I159" t="n">
        <v>27680.83701649764</v>
      </c>
      <c r="J159" t="n">
        <v>36535.23446336296</v>
      </c>
      <c r="K159" t="n">
        <v>44967.37198031618</v>
      </c>
      <c r="L159" t="n">
        <v>56686.0330585386</v>
      </c>
      <c r="M159" t="n">
        <v>66960.19957370838</v>
      </c>
      <c r="N159" t="n">
        <v>81107.03271226979</v>
      </c>
      <c r="O159" t="n">
        <v>97132.32380230303</v>
      </c>
      <c r="P159" t="n">
        <v>115010.6332054491</v>
      </c>
      <c r="Q159" t="n">
        <v>131476.927150282</v>
      </c>
      <c r="R159" t="n">
        <v>151003.985368924</v>
      </c>
      <c r="S159" t="n">
        <v>169889.6739074008</v>
      </c>
      <c r="T159" t="n">
        <v>189091.8633805047</v>
      </c>
      <c r="U159" t="n">
        <v>207819.9010640164</v>
      </c>
      <c r="V159" t="n">
        <v>227806.722735043</v>
      </c>
      <c r="W159" t="n">
        <v>245320.3279782054</v>
      </c>
      <c r="X159" t="n">
        <v>264953.80585079</v>
      </c>
      <c r="Y159" t="n">
        <v>285915.2306840136</v>
      </c>
      <c r="Z159" t="n">
        <v>307604.1297861773</v>
      </c>
      <c r="AA159" t="n">
        <v>331939.7440062705</v>
      </c>
      <c r="AB159" t="n">
        <v>356816.4348769203</v>
      </c>
      <c r="AC159" t="n">
        <v>382321.2582440755</v>
      </c>
      <c r="AD159" t="n">
        <v>409447.1908541235</v>
      </c>
      <c r="AE159" t="n">
        <v>433403.0934139404</v>
      </c>
      <c r="AF159" t="n">
        <v>457981.6927722495</v>
      </c>
      <c r="AG159" t="n">
        <v>480656.257074223</v>
      </c>
      <c r="AH159" t="n">
        <v>503668.1523541292</v>
      </c>
      <c r="AI159" t="n">
        <v>523014.2532367705</v>
      </c>
      <c r="AJ159" t="n">
        <v>543392.0206850757</v>
      </c>
      <c r="AK159" t="n">
        <v>563091.6741781041</v>
      </c>
      <c r="AL159" t="n">
        <v>583310.011190695</v>
      </c>
      <c r="AM159" t="n">
        <v>601503.5323332619</v>
      </c>
      <c r="AN159" t="n">
        <v>617148.8314629296</v>
      </c>
      <c r="AO159" t="n">
        <v>633845.7207656045</v>
      </c>
      <c r="AP159" t="n">
        <v>650092.4055445926</v>
      </c>
      <c r="AQ159" t="n">
        <v>664135.6489548729</v>
      </c>
      <c r="AR159" t="n">
        <v>678217.0844174658</v>
      </c>
      <c r="AS159" t="n">
        <v>691116.8791840131</v>
      </c>
      <c r="AT159" t="n">
        <v>705331.5494325006</v>
      </c>
      <c r="AU159" t="n">
        <v>717357.5336653783</v>
      </c>
      <c r="AV159" t="n">
        <v>729949.3316388219</v>
      </c>
      <c r="AW159" t="n">
        <v>741346.6628532548</v>
      </c>
      <c r="AX159" t="n">
        <v>754267.6259601509</v>
      </c>
      <c r="AY159" t="n">
        <v>764025.1387686022</v>
      </c>
      <c r="AZ159" t="n">
        <v>774328.2261022946</v>
      </c>
      <c r="BA159" t="n">
        <v>785185.0521907773</v>
      </c>
      <c r="BB159" t="n">
        <v>794831.0117436154</v>
      </c>
      <c r="BC159" t="n">
        <v>803275.7881174706</v>
      </c>
      <c r="BD159" t="n">
        <v>814267.6755040297</v>
      </c>
      <c r="BE159" t="n">
        <v>822304.9277129689</v>
      </c>
      <c r="BF159" t="n">
        <v>831135.7574501557</v>
      </c>
      <c r="BG159" t="n">
        <v>840508.3355846067</v>
      </c>
      <c r="BH159" t="n">
        <v>847920.7904040393</v>
      </c>
      <c r="BI159" t="n">
        <v>856121.2068588521</v>
      </c>
    </row>
    <row r="160" hidden="1" outlineLevel="2">
      <c r="A160" t="inlineStr">
        <is>
          <t>CAC Total</t>
        </is>
      </c>
      <c r="B160">
        <f t="array" ref="B160:BI160">_xlfn.LET(_xlpm.d,_xlfn.ANCHORARRAY(B141),_xlpm.roll,_xlfn.LET(_xlpm.cum,_xlfn.SCAN(0,_xlpm.d,_xlfn.LAMBDA(_xlpm.a,_xlpm.v,_xlpm.a+_xlpm.v)),_xlfn.HSTACK(_xlfn.TAKE(_xlpm.cum,,12),_xlfn.DROP(_xlpm.cum,,12)-_xlfn.TAKE(_xlpm.cum,,48))),_xlpm.d*$CP$140+_xlfn.ANCHORARRAY(B144)*Palancas!$B$9+_xlpm.d*$DB$140*$CN$140+_xlpm.roll*(($BS$140*$BP$140*$BR$140)+($BT$140*$BP$140*$BR$140*_xlfn.ANCHORARRAY(B149)))*$CO$140+IF(_xlfn.SEQUENCE(1,60)&gt;=$CU$140,_xlfn.ANCHORARRAY(B154)*$CT$140,0))</f>
        <v/>
      </c>
      <c r="C160" t="n">
        <v>332.3355925</v>
      </c>
      <c r="D160" t="n">
        <v>352.6971421</v>
      </c>
      <c r="E160" t="n">
        <v>685.4880549725</v>
      </c>
      <c r="F160" t="n">
        <v>726.544455143615</v>
      </c>
      <c r="G160" t="n">
        <v>887.87031513828</v>
      </c>
      <c r="H160" t="n">
        <v>1554.464144089235</v>
      </c>
      <c r="I160" t="n">
        <v>1757.607052903821</v>
      </c>
      <c r="J160" t="n">
        <v>1961.307247536914</v>
      </c>
      <c r="K160" t="n">
        <v>2045.573043154503</v>
      </c>
      <c r="L160" t="n">
        <v>2250.412865497316</v>
      </c>
      <c r="M160" t="n">
        <v>2335.835252260795</v>
      </c>
      <c r="N160" t="n">
        <v>9310.513925248672</v>
      </c>
      <c r="O160" t="n">
        <v>10715.27696626068</v>
      </c>
      <c r="P160" t="n">
        <v>12124.36901060354</v>
      </c>
      <c r="Q160" t="n">
        <v>13495.22857588086</v>
      </c>
      <c r="R160" t="n">
        <v>14891.56251914809</v>
      </c>
      <c r="S160" t="n">
        <v>16193.66736346038</v>
      </c>
      <c r="T160" t="n">
        <v>17599.12842448476</v>
      </c>
      <c r="U160" t="n">
        <v>18804.6620625024</v>
      </c>
      <c r="V160" t="n">
        <v>20212.12190021574</v>
      </c>
      <c r="W160" t="n">
        <v>21645.93088738118</v>
      </c>
      <c r="X160" t="n">
        <v>22986.40160548919</v>
      </c>
      <c r="Y160" t="n">
        <v>24473.85192254517</v>
      </c>
      <c r="Z160" t="n">
        <v>27123.23416106136</v>
      </c>
      <c r="AA160" t="n">
        <v>28908.69597037225</v>
      </c>
      <c r="AB160" t="n">
        <v>30930.6930006709</v>
      </c>
      <c r="AC160" t="n">
        <v>32577.14498404704</v>
      </c>
      <c r="AD160" t="n">
        <v>34398.51027913205</v>
      </c>
      <c r="AE160" t="n">
        <v>36018.73511458475</v>
      </c>
      <c r="AF160" t="n">
        <v>37616.87671386611</v>
      </c>
      <c r="AG160" t="n">
        <v>39097.3133382106</v>
      </c>
      <c r="AH160" t="n">
        <v>40536.84815553641</v>
      </c>
      <c r="AI160" t="n">
        <v>41917.64970110988</v>
      </c>
      <c r="AJ160" t="n">
        <v>43256.58958691287</v>
      </c>
      <c r="AK160" t="n">
        <v>44553.23597234103</v>
      </c>
      <c r="AL160" t="n">
        <v>45738.57211406148</v>
      </c>
      <c r="AM160" t="n">
        <v>46880.17287289981</v>
      </c>
      <c r="AN160" t="n">
        <v>47977.56857287003</v>
      </c>
      <c r="AO160" t="n">
        <v>49030.27921370416</v>
      </c>
      <c r="AP160" t="n">
        <v>50055.69767242844</v>
      </c>
      <c r="AQ160" t="n">
        <v>51053.52919904914</v>
      </c>
      <c r="AR160" t="n">
        <v>52005.45060500786</v>
      </c>
      <c r="AS160" t="n">
        <v>52929.03483922411</v>
      </c>
      <c r="AT160" t="n">
        <v>53823.96445917671</v>
      </c>
      <c r="AU160" t="n">
        <v>54689.91488883269</v>
      </c>
      <c r="AV160" t="n">
        <v>55544.8610158732</v>
      </c>
      <c r="AW160" t="n">
        <v>56370.30299132787</v>
      </c>
      <c r="AX160" t="n">
        <v>57165.89627164947</v>
      </c>
      <c r="AY160" t="n">
        <v>57949.81675842047</v>
      </c>
      <c r="AZ160" t="n">
        <v>58703.32700155529</v>
      </c>
      <c r="BA160" t="n">
        <v>59444.74080074931</v>
      </c>
      <c r="BB160" t="n">
        <v>60155.15884208835</v>
      </c>
      <c r="BC160" t="n">
        <v>60853.03542296489</v>
      </c>
      <c r="BD160" t="n">
        <v>61538.21790215278</v>
      </c>
      <c r="BE160" t="n">
        <v>62210.54995638255</v>
      </c>
      <c r="BF160" t="n">
        <v>62869.87151413308</v>
      </c>
      <c r="BG160" t="n">
        <v>63516.018688389</v>
      </c>
      <c r="BH160" t="n">
        <v>64148.8237083488</v>
      </c>
      <c r="BI160" t="n">
        <v>64768.11485006912</v>
      </c>
    </row>
    <row r="161" hidden="1" outlineLevel="2">
      <c r="A161" s="530" t="inlineStr">
        <is>
          <t>Métrica</t>
        </is>
      </c>
      <c r="B161" t="n">
        <v>0</v>
      </c>
      <c r="C161">
        <f>IF(INT((COLUMN()-2)/6)+1&gt;INT((COLUMN()-3)/6)+1,IF(B163&gt;0,B161+1,B161),B161)</f>
        <v/>
      </c>
      <c r="D161">
        <f>IF(INT((COLUMN()-2)/6)+1&gt;INT((COLUMN()-3)/6)+1,IF(C163&gt;0,C161+1,C161),C161)</f>
        <v/>
      </c>
      <c r="E161">
        <f>IF(INT((COLUMN()-2)/6)+1&gt;INT((COLUMN()-3)/6)+1,IF(D163&gt;0,D161+1,D161),D161)</f>
        <v/>
      </c>
      <c r="F161">
        <f>IF(INT((COLUMN()-2)/6)+1&gt;INT((COLUMN()-3)/6)+1,IF(E163&gt;0,E161+1,E161),E161)</f>
        <v/>
      </c>
      <c r="G161">
        <f>IF(INT((COLUMN()-2)/6)+1&gt;INT((COLUMN()-3)/6)+1,IF(F163&gt;0,F161+1,F161),F161)</f>
        <v/>
      </c>
      <c r="H161">
        <f>IF(INT((COLUMN()-2)/6)+1&gt;INT((COLUMN()-3)/6)+1,IF(G163&gt;0,G161+1,G161),G161)</f>
        <v/>
      </c>
      <c r="I161">
        <f>IF(INT((COLUMN()-2)/6)+1&gt;INT((COLUMN()-3)/6)+1,IF(H163&gt;0,H161+1,H161),H161)</f>
        <v/>
      </c>
      <c r="J161">
        <f>IF(INT((COLUMN()-2)/6)+1&gt;INT((COLUMN()-3)/6)+1,IF(I163&gt;0,I161+1,I161),I161)</f>
        <v/>
      </c>
      <c r="K161">
        <f>IF(INT((COLUMN()-2)/6)+1&gt;INT((COLUMN()-3)/6)+1,IF(J163&gt;0,J161+1,J161),J161)</f>
        <v/>
      </c>
      <c r="L161">
        <f>IF(INT((COLUMN()-2)/6)+1&gt;INT((COLUMN()-3)/6)+1,IF(K163&gt;0,K161+1,K161),K161)</f>
        <v/>
      </c>
      <c r="M161">
        <f>IF(INT((COLUMN()-2)/6)+1&gt;INT((COLUMN()-3)/6)+1,IF(L163&gt;0,L161+1,L161),L161)</f>
        <v/>
      </c>
      <c r="N161">
        <f>IF(INT((COLUMN()-2)/6)+1&gt;INT((COLUMN()-3)/6)+1,IF(M163&gt;0,M161+1,M161),M161)</f>
        <v/>
      </c>
      <c r="O161">
        <f>IF(INT((COLUMN()-2)/6)+1&gt;INT((COLUMN()-3)/6)+1,IF(N163&gt;0,N161+1,N161),N161)</f>
        <v/>
      </c>
      <c r="P161">
        <f>IF(INT((COLUMN()-2)/6)+1&gt;INT((COLUMN()-3)/6)+1,IF(O163&gt;0,O161+1,O161),O161)</f>
        <v/>
      </c>
      <c r="Q161">
        <f>IF(INT((COLUMN()-2)/6)+1&gt;INT((COLUMN()-3)/6)+1,IF(P163&gt;0,P161+1,P161),P161)</f>
        <v/>
      </c>
      <c r="R161">
        <f>IF(INT((COLUMN()-2)/6)+1&gt;INT((COLUMN()-3)/6)+1,IF(Q163&gt;0,Q161+1,Q161),Q161)</f>
        <v/>
      </c>
      <c r="S161">
        <f>IF(INT((COLUMN()-2)/6)+1&gt;INT((COLUMN()-3)/6)+1,IF(R163&gt;0,R161+1,R161),R161)</f>
        <v/>
      </c>
      <c r="T161">
        <f>IF(INT((COLUMN()-2)/6)+1&gt;INT((COLUMN()-3)/6)+1,IF(S163&gt;0,S161+1,S161),S161)</f>
        <v/>
      </c>
      <c r="U161">
        <f>IF(INT((COLUMN()-2)/6)+1&gt;INT((COLUMN()-3)/6)+1,IF(T163&gt;0,T161+1,T161),T161)</f>
        <v/>
      </c>
      <c r="V161">
        <f>IF(INT((COLUMN()-2)/6)+1&gt;INT((COLUMN()-3)/6)+1,IF(U163&gt;0,U161+1,U161),U161)</f>
        <v/>
      </c>
      <c r="W161">
        <f>IF(INT((COLUMN()-2)/6)+1&gt;INT((COLUMN()-3)/6)+1,IF(V163&gt;0,V161+1,V161),V161)</f>
        <v/>
      </c>
      <c r="X161">
        <f>IF(INT((COLUMN()-2)/6)+1&gt;INT((COLUMN()-3)/6)+1,IF(W163&gt;0,W161+1,W161),W161)</f>
        <v/>
      </c>
      <c r="Y161">
        <f>IF(INT((COLUMN()-2)/6)+1&gt;INT((COLUMN()-3)/6)+1,IF(X163&gt;0,X161+1,X161),X161)</f>
        <v/>
      </c>
      <c r="Z161">
        <f>IF(INT((COLUMN()-2)/6)+1&gt;INT((COLUMN()-3)/6)+1,IF(Y163&gt;0,Y161+1,Y161),Y161)</f>
        <v/>
      </c>
      <c r="AA161">
        <f>IF(INT((COLUMN()-2)/6)+1&gt;INT((COLUMN()-3)/6)+1,IF(Z163&gt;0,Z161+1,Z161),Z161)</f>
        <v/>
      </c>
      <c r="AB161">
        <f>IF(INT((COLUMN()-2)/6)+1&gt;INT((COLUMN()-3)/6)+1,IF(AA163&gt;0,AA161+1,AA161),AA161)</f>
        <v/>
      </c>
      <c r="AC161">
        <f>IF(INT((COLUMN()-2)/6)+1&gt;INT((COLUMN()-3)/6)+1,IF(AB163&gt;0,AB161+1,AB161),AB161)</f>
        <v/>
      </c>
      <c r="AD161">
        <f>IF(INT((COLUMN()-2)/6)+1&gt;INT((COLUMN()-3)/6)+1,IF(AC163&gt;0,AC161+1,AC161),AC161)</f>
        <v/>
      </c>
      <c r="AE161">
        <f>IF(INT((COLUMN()-2)/6)+1&gt;INT((COLUMN()-3)/6)+1,IF(AD163&gt;0,AD161+1,AD161),AD161)</f>
        <v/>
      </c>
      <c r="AF161">
        <f>IF(INT((COLUMN()-2)/6)+1&gt;INT((COLUMN()-3)/6)+1,IF(AE163&gt;0,AE161+1,AE161),AE161)</f>
        <v/>
      </c>
      <c r="AG161">
        <f>IF(INT((COLUMN()-2)/6)+1&gt;INT((COLUMN()-3)/6)+1,IF(AF163&gt;0,AF161+1,AF161),AF161)</f>
        <v/>
      </c>
      <c r="AH161">
        <f>IF(INT((COLUMN()-2)/6)+1&gt;INT((COLUMN()-3)/6)+1,IF(AG163&gt;0,AG161+1,AG161),AG161)</f>
        <v/>
      </c>
      <c r="AI161">
        <f>IF(INT((COLUMN()-2)/6)+1&gt;INT((COLUMN()-3)/6)+1,IF(AH163&gt;0,AH161+1,AH161),AH161)</f>
        <v/>
      </c>
      <c r="AJ161">
        <f>IF(INT((COLUMN()-2)/6)+1&gt;INT((COLUMN()-3)/6)+1,IF(AI163&gt;0,AI161+1,AI161),AI161)</f>
        <v/>
      </c>
      <c r="AK161">
        <f>IF(INT((COLUMN()-2)/6)+1&gt;INT((COLUMN()-3)/6)+1,IF(AJ163&gt;0,AJ161+1,AJ161),AJ161)</f>
        <v/>
      </c>
      <c r="AL161">
        <f>IF(INT((COLUMN()-2)/6)+1&gt;INT((COLUMN()-3)/6)+1,IF(AK163&gt;0,AK161+1,AK161),AK161)</f>
        <v/>
      </c>
      <c r="AM161">
        <f>IF(INT((COLUMN()-2)/6)+1&gt;INT((COLUMN()-3)/6)+1,IF(AL163&gt;0,AL161+1,AL161),AL161)</f>
        <v/>
      </c>
      <c r="AN161">
        <f>IF(INT((COLUMN()-2)/6)+1&gt;INT((COLUMN()-3)/6)+1,IF(AM163&gt;0,AM161+1,AM161),AM161)</f>
        <v/>
      </c>
      <c r="AO161">
        <f>IF(INT((COLUMN()-2)/6)+1&gt;INT((COLUMN()-3)/6)+1,IF(AN163&gt;0,AN161+1,AN161),AN161)</f>
        <v/>
      </c>
      <c r="AP161">
        <f>IF(INT((COLUMN()-2)/6)+1&gt;INT((COLUMN()-3)/6)+1,IF(AO163&gt;0,AO161+1,AO161),AO161)</f>
        <v/>
      </c>
      <c r="AQ161">
        <f>IF(INT((COLUMN()-2)/6)+1&gt;INT((COLUMN()-3)/6)+1,IF(AP163&gt;0,AP161+1,AP161),AP161)</f>
        <v/>
      </c>
      <c r="AR161">
        <f>IF(INT((COLUMN()-2)/6)+1&gt;INT((COLUMN()-3)/6)+1,IF(AQ163&gt;0,AQ161+1,AQ161),AQ161)</f>
        <v/>
      </c>
      <c r="AS161">
        <f>IF(INT((COLUMN()-2)/6)+1&gt;INT((COLUMN()-3)/6)+1,IF(AR163&gt;0,AR161+1,AR161),AR161)</f>
        <v/>
      </c>
      <c r="AT161">
        <f>IF(INT((COLUMN()-2)/6)+1&gt;INT((COLUMN()-3)/6)+1,IF(AS163&gt;0,AS161+1,AS161),AS161)</f>
        <v/>
      </c>
      <c r="AU161">
        <f>IF(INT((COLUMN()-2)/6)+1&gt;INT((COLUMN()-3)/6)+1,IF(AT163&gt;0,AT161+1,AT161),AT161)</f>
        <v/>
      </c>
      <c r="AV161">
        <f>IF(INT((COLUMN()-2)/6)+1&gt;INT((COLUMN()-3)/6)+1,IF(AU163&gt;0,AU161+1,AU161),AU161)</f>
        <v/>
      </c>
      <c r="AW161">
        <f>IF(INT((COLUMN()-2)/6)+1&gt;INT((COLUMN()-3)/6)+1,IF(AV163&gt;0,AV161+1,AV161),AV161)</f>
        <v/>
      </c>
      <c r="AX161">
        <f>IF(INT((COLUMN()-2)/6)+1&gt;INT((COLUMN()-3)/6)+1,IF(AW163&gt;0,AW161+1,AW161),AW161)</f>
        <v/>
      </c>
      <c r="AY161">
        <f>IF(INT((COLUMN()-2)/6)+1&gt;INT((COLUMN()-3)/6)+1,IF(AX163&gt;0,AX161+1,AX161),AX161)</f>
        <v/>
      </c>
      <c r="AZ161">
        <f>IF(INT((COLUMN()-2)/6)+1&gt;INT((COLUMN()-3)/6)+1,IF(AY163&gt;0,AY161+1,AY161),AY161)</f>
        <v/>
      </c>
      <c r="BA161">
        <f>IF(INT((COLUMN()-2)/6)+1&gt;INT((COLUMN()-3)/6)+1,IF(AZ163&gt;0,AZ161+1,AZ161),AZ161)</f>
        <v/>
      </c>
      <c r="BB161">
        <f>IF(INT((COLUMN()-2)/6)+1&gt;INT((COLUMN()-3)/6)+1,IF(BA163&gt;0,BA161+1,BA161),BA161)</f>
        <v/>
      </c>
      <c r="BC161">
        <f>IF(INT((COLUMN()-2)/6)+1&gt;INT((COLUMN()-3)/6)+1,IF(BB163&gt;0,BB161+1,BB161),BB161)</f>
        <v/>
      </c>
      <c r="BD161">
        <f>IF(INT((COLUMN()-2)/6)+1&gt;INT((COLUMN()-3)/6)+1,IF(BC163&gt;0,BC161+1,BC161),BC161)</f>
        <v/>
      </c>
      <c r="BE161">
        <f>IF(INT((COLUMN()-2)/6)+1&gt;INT((COLUMN()-3)/6)+1,IF(BD163&gt;0,BD161+1,BD161),BD161)</f>
        <v/>
      </c>
      <c r="BF161">
        <f>IF(INT((COLUMN()-2)/6)+1&gt;INT((COLUMN()-3)/6)+1,IF(BE163&gt;0,BE161+1,BE161),BE161)</f>
        <v/>
      </c>
      <c r="BG161">
        <f>IF(INT((COLUMN()-2)/6)+1&gt;INT((COLUMN()-3)/6)+1,IF(BF163&gt;0,BF161+1,BF161),BF161)</f>
        <v/>
      </c>
      <c r="BH161">
        <f>IF(INT((COLUMN()-2)/6)+1&gt;INT((COLUMN()-3)/6)+1,IF(BG163&gt;0,BG161+1,BG161),BG161)</f>
        <v/>
      </c>
      <c r="BI161">
        <f>IF(INT((COLUMN()-2)/6)+1&gt;INT((COLUMN()-3)/6)+1,IF(BH163&gt;0,BH161+1,BH161),BH161)</f>
        <v/>
      </c>
    </row>
    <row r="162" hidden="1" outlineLevel="2">
      <c r="A162" s="587" t="inlineStr">
        <is>
          <t>ARR Año 1</t>
        </is>
      </c>
      <c r="B162">
        <f>$CW$140*$CA$140*(1+$CB$140)^B161+MIN(15000,3000+MAX(0,FLOOR(B146/100,1))*1000)+$CX$140</f>
        <v/>
      </c>
      <c r="C162">
        <f>$CW$194*$CA$194*(1+$CB$194)^C161+MIN(15000,3000+MAX(0,FLOOR(C146/100,1))*1000)+$CX$194</f>
        <v/>
      </c>
      <c r="D162">
        <f>$CW$194*$CA$194*(1+$CB$194)^D161+MIN(15000,3000+MAX(0,FLOOR(D146/100,1))*1000)+$CX$194</f>
        <v/>
      </c>
      <c r="E162">
        <f>$CW$194*$CA$194*(1+$CB$194)^E161+MIN(15000,3000+MAX(0,FLOOR(E146/100,1))*1000)+$CX$194</f>
        <v/>
      </c>
      <c r="F162">
        <f>$CW$194*$CA$194*(1+$CB$194)^F161+MIN(15000,3000+MAX(0,FLOOR(F146/100,1))*1000)+$CX$194</f>
        <v/>
      </c>
      <c r="G162">
        <f>$CW$194*$CA$194*(1+$CB$194)^G161+MIN(15000,3000+MAX(0,FLOOR(G146/100,1))*1000)+$CX$194</f>
        <v/>
      </c>
      <c r="H162">
        <f>$CW$194*$CA$194*(1+$CB$194)^H161+MIN(15000,3000+MAX(0,FLOOR(H146/100,1))*1000)+$CX$194</f>
        <v/>
      </c>
      <c r="I162">
        <f>$CW$194*$CA$194*(1+$CB$194)^I161+MIN(15000,3000+MAX(0,FLOOR(I146/100,1))*1000)+$CX$194</f>
        <v/>
      </c>
      <c r="J162">
        <f>$CW$194*$CA$194*(1+$CB$194)^J161+MIN(15000,3000+MAX(0,FLOOR(J146/100,1))*1000)+$CX$194</f>
        <v/>
      </c>
      <c r="K162">
        <f>$CW$194*$CA$194*(1+$CB$194)^K161+MIN(15000,3000+MAX(0,FLOOR(K146/100,1))*1000)+$CX$194</f>
        <v/>
      </c>
      <c r="L162">
        <f>$CW$194*$CA$194*(1+$CB$194)^L161+MIN(15000,3000+MAX(0,FLOOR(L146/100,1))*1000)+$CX$194</f>
        <v/>
      </c>
      <c r="M162">
        <f>$CW$194*$CA$194*(1+$CB$194)^M161+MIN(15000,3000+MAX(0,FLOOR(M146/100,1))*1000)+$CX$194</f>
        <v/>
      </c>
      <c r="N162">
        <f>$CW$194*$CA$194*(1+$CB$194)^N161+MIN(15000,3000+MAX(0,FLOOR(N146/100,1))*1000)+$CX$194</f>
        <v/>
      </c>
      <c r="O162">
        <f>$CW$194*$CA$194*(1+$CB$194)^O161+MIN(15000,3000+MAX(0,FLOOR(O146/100,1))*1000)+$CX$194</f>
        <v/>
      </c>
      <c r="P162">
        <f>$CW$194*$CA$194*(1+$CB$194)^P161+MIN(15000,3000+MAX(0,FLOOR(P146/100,1))*1000)+$CX$194</f>
        <v/>
      </c>
      <c r="Q162">
        <f>$CW$194*$CA$194*(1+$CB$194)^Q161+MIN(15000,3000+MAX(0,FLOOR(Q146/100,1))*1000)+$CX$194</f>
        <v/>
      </c>
      <c r="R162">
        <f>$CW$194*$CA$194*(1+$CB$194)^R161+MIN(15000,3000+MAX(0,FLOOR(R146/100,1))*1000)+$CX$194</f>
        <v/>
      </c>
      <c r="S162">
        <f>$CW$194*$CA$194*(1+$CB$194)^S161+MIN(15000,3000+MAX(0,FLOOR(S146/100,1))*1000)+$CX$194</f>
        <v/>
      </c>
      <c r="T162">
        <f>$CW$194*$CA$194*(1+$CB$194)^T161+MIN(15000,3000+MAX(0,FLOOR(T146/100,1))*1000)+$CX$194</f>
        <v/>
      </c>
      <c r="U162">
        <f>$CW$194*$CA$194*(1+$CB$194)^U161+MIN(15000,3000+MAX(0,FLOOR(U146/100,1))*1000)+$CX$194</f>
        <v/>
      </c>
      <c r="V162">
        <f>$CW$194*$CA$194*(1+$CB$194)^V161+MIN(15000,3000+MAX(0,FLOOR(V146/100,1))*1000)+$CX$194</f>
        <v/>
      </c>
      <c r="W162">
        <f>$CW$194*$CA$194*(1+$CB$194)^W161+MIN(15000,3000+MAX(0,FLOOR(W146/100,1))*1000)+$CX$194</f>
        <v/>
      </c>
      <c r="X162">
        <f>$CW$194*$CA$194*(1+$CB$194)^X161+MIN(15000,3000+MAX(0,FLOOR(X146/100,1))*1000)+$CX$194</f>
        <v/>
      </c>
      <c r="Y162">
        <f>$CW$194*$CA$194*(1+$CB$194)^Y161+MIN(15000,3000+MAX(0,FLOOR(Y146/100,1))*1000)+$CX$194</f>
        <v/>
      </c>
      <c r="Z162">
        <f>$CW$194*$CA$194*(1+$CB$194)^Z161+MIN(15000,3000+MAX(0,FLOOR(Z146/100,1))*1000)+$CX$194</f>
        <v/>
      </c>
      <c r="AA162">
        <f>$CW$194*$CA$194*(1+$CB$194)^AA161+MIN(15000,3000+MAX(0,FLOOR(AA146/100,1))*1000)+$CX$194</f>
        <v/>
      </c>
      <c r="AB162">
        <f>$CW$194*$CA$194*(1+$CB$194)^AB161+MIN(15000,3000+MAX(0,FLOOR(AB146/100,1))*1000)+$CX$194</f>
        <v/>
      </c>
      <c r="AC162">
        <f>$CW$194*$CA$194*(1+$CB$194)^AC161+MIN(15000,3000+MAX(0,FLOOR(AC146/100,1))*1000)+$CX$194</f>
        <v/>
      </c>
      <c r="AD162">
        <f>$CW$194*$CA$194*(1+$CB$194)^AD161+MIN(15000,3000+MAX(0,FLOOR(AD146/100,1))*1000)+$CX$194</f>
        <v/>
      </c>
      <c r="AE162">
        <f>$CW$194*$CA$194*(1+$CB$194)^AE161+MIN(15000,3000+MAX(0,FLOOR(AE146/100,1))*1000)+$CX$194</f>
        <v/>
      </c>
      <c r="AF162">
        <f>$CW$194*$CA$194*(1+$CB$194)^AF161+MIN(15000,3000+MAX(0,FLOOR(AF146/100,1))*1000)+$CX$194</f>
        <v/>
      </c>
      <c r="AG162">
        <f>$CW$194*$CA$194*(1+$CB$194)^AG161+MIN(15000,3000+MAX(0,FLOOR(AG146/100,1))*1000)+$CX$194</f>
        <v/>
      </c>
      <c r="AH162">
        <f>$CW$194*$CA$194*(1+$CB$194)^AH161+MIN(15000,3000+MAX(0,FLOOR(AH146/100,1))*1000)+$CX$194</f>
        <v/>
      </c>
      <c r="AI162">
        <f>$CW$194*$CA$194*(1+$CB$194)^AI161+MIN(15000,3000+MAX(0,FLOOR(AI146/100,1))*1000)+$CX$194</f>
        <v/>
      </c>
      <c r="AJ162">
        <f>$CW$194*$CA$194*(1+$CB$194)^AJ161+MIN(15000,3000+MAX(0,FLOOR(AJ146/100,1))*1000)+$CX$194</f>
        <v/>
      </c>
      <c r="AK162">
        <f>$CW$194*$CA$194*(1+$CB$194)^AK161+MIN(15000,3000+MAX(0,FLOOR(AK146/100,1))*1000)+$CX$194</f>
        <v/>
      </c>
      <c r="AL162">
        <f>$CW$194*$CA$194*(1+$CB$194)^AL161+MIN(15000,3000+MAX(0,FLOOR(AL146/100,1))*1000)+$CX$194</f>
        <v/>
      </c>
      <c r="AM162">
        <f>$CW$194*$CA$194*(1+$CB$194)^AM161+MIN(15000,3000+MAX(0,FLOOR(AM146/100,1))*1000)+$CX$194</f>
        <v/>
      </c>
      <c r="AN162">
        <f>$CW$194*$CA$194*(1+$CB$194)^AN161+MIN(15000,3000+MAX(0,FLOOR(AN146/100,1))*1000)+$CX$194</f>
        <v/>
      </c>
      <c r="AO162">
        <f>$CW$194*$CA$194*(1+$CB$194)^AO161+MIN(15000,3000+MAX(0,FLOOR(AO146/100,1))*1000)+$CX$194</f>
        <v/>
      </c>
      <c r="AP162">
        <f>$CW$194*$CA$194*(1+$CB$194)^AP161+MIN(15000,3000+MAX(0,FLOOR(AP146/100,1))*1000)+$CX$194</f>
        <v/>
      </c>
      <c r="AQ162">
        <f>$CW$194*$CA$194*(1+$CB$194)^AQ161+MIN(15000,3000+MAX(0,FLOOR(AQ146/100,1))*1000)+$CX$194</f>
        <v/>
      </c>
      <c r="AR162">
        <f>$CW$194*$CA$194*(1+$CB$194)^AR161+MIN(15000,3000+MAX(0,FLOOR(AR146/100,1))*1000)+$CX$194</f>
        <v/>
      </c>
      <c r="AS162">
        <f>$CW$194*$CA$194*(1+$CB$194)^AS161+MIN(15000,3000+MAX(0,FLOOR(AS146/100,1))*1000)+$CX$194</f>
        <v/>
      </c>
      <c r="AT162">
        <f>$CW$194*$CA$194*(1+$CB$194)^AT161+MIN(15000,3000+MAX(0,FLOOR(AT146/100,1))*1000)+$CX$194</f>
        <v/>
      </c>
      <c r="AU162">
        <f>$CW$194*$CA$194*(1+$CB$194)^AU161+MIN(15000,3000+MAX(0,FLOOR(AU146/100,1))*1000)+$CX$194</f>
        <v/>
      </c>
      <c r="AV162">
        <f>$CW$194*$CA$194*(1+$CB$194)^AV161+MIN(15000,3000+MAX(0,FLOOR(AV146/100,1))*1000)+$CX$194</f>
        <v/>
      </c>
      <c r="AW162">
        <f>$CW$194*$CA$194*(1+$CB$194)^AW161+MIN(15000,3000+MAX(0,FLOOR(AW146/100,1))*1000)+$CX$194</f>
        <v/>
      </c>
      <c r="AX162">
        <f>$CW$194*$CA$194*(1+$CB$194)^AX161+MIN(15000,3000+MAX(0,FLOOR(AX146/100,1))*1000)+$CX$194</f>
        <v/>
      </c>
      <c r="AY162">
        <f>$CW$194*$CA$194*(1+$CB$194)^AY161+MIN(15000,3000+MAX(0,FLOOR(AY146/100,1))*1000)+$CX$194</f>
        <v/>
      </c>
      <c r="AZ162">
        <f>$CW$194*$CA$194*(1+$CB$194)^AZ161+MIN(15000,3000+MAX(0,FLOOR(AZ146/100,1))*1000)+$CX$194</f>
        <v/>
      </c>
      <c r="BA162">
        <f>$CW$194*$CA$194*(1+$CB$194)^BA161+MIN(15000,3000+MAX(0,FLOOR(BA146/100,1))*1000)+$CX$194</f>
        <v/>
      </c>
      <c r="BB162">
        <f>$CW$194*$CA$194*(1+$CB$194)^BB161+MIN(15000,3000+MAX(0,FLOOR(BB146/100,1))*1000)+$CX$194</f>
        <v/>
      </c>
      <c r="BC162">
        <f>$CW$194*$CA$194*(1+$CB$194)^BC161+MIN(15000,3000+MAX(0,FLOOR(BC146/100,1))*1000)+$CX$194</f>
        <v/>
      </c>
      <c r="BD162">
        <f>$CW$194*$CA$194*(1+$CB$194)^BD161+MIN(15000,3000+MAX(0,FLOOR(BD146/100,1))*1000)+$CX$194</f>
        <v/>
      </c>
      <c r="BE162">
        <f>$CW$194*$CA$194*(1+$CB$194)^BE161+MIN(15000,3000+MAX(0,FLOOR(BE146/100,1))*1000)+$CX$194</f>
        <v/>
      </c>
      <c r="BF162">
        <f>$CW$194*$CA$194*(1+$CB$194)^BF161+MIN(15000,3000+MAX(0,FLOOR(BF146/100,1))*1000)+$CX$194</f>
        <v/>
      </c>
      <c r="BG162">
        <f>$CW$194*$CA$194*(1+$CB$194)^BG161+MIN(15000,3000+MAX(0,FLOOR(BG146/100,1))*1000)+$CX$194</f>
        <v/>
      </c>
      <c r="BH162">
        <f>$CW$194*$CA$194*(1+$CB$194)^BH161+MIN(15000,3000+MAX(0,FLOOR(BH146/100,1))*1000)+$CX$194</f>
        <v/>
      </c>
      <c r="BI162">
        <f>$CW$194*$CA$194*(1+$CB$194)^BI161+MIN(15000,3000+MAX(0,FLOOR(BI146/100,1))*1000)+$CX$194</f>
        <v/>
      </c>
    </row>
    <row r="163" hidden="1" outlineLevel="2">
      <c r="A163" s="568" t="inlineStr">
        <is>
          <t>ARR Año 2</t>
        </is>
      </c>
      <c r="B163">
        <f>B154-B159-B160-B162</f>
        <v/>
      </c>
      <c r="C163">
        <f>C154-C159-C160-C162</f>
        <v/>
      </c>
      <c r="D163">
        <f>D154-D159-D160-D162</f>
        <v/>
      </c>
      <c r="E163">
        <f>E154-E159-E160-E162</f>
        <v/>
      </c>
      <c r="F163">
        <f>F154-F159-F160-F162</f>
        <v/>
      </c>
      <c r="G163">
        <f>G154-G159-G160-G162</f>
        <v/>
      </c>
      <c r="H163">
        <f>H154-H159-H160-H162</f>
        <v/>
      </c>
      <c r="I163">
        <f>I154-I159-I160-I162</f>
        <v/>
      </c>
      <c r="J163">
        <f>J154-J159-J160-J162</f>
        <v/>
      </c>
      <c r="K163">
        <f>K154-K159-K160-K162</f>
        <v/>
      </c>
      <c r="L163">
        <f>L154-L159-L160-L162</f>
        <v/>
      </c>
      <c r="M163">
        <f>M154-M159-M160-M162</f>
        <v/>
      </c>
      <c r="N163">
        <f>N154-N159-N160-N162</f>
        <v/>
      </c>
      <c r="O163">
        <f>O154-O159-O160-O162</f>
        <v/>
      </c>
      <c r="P163">
        <f>P154-P159-P160-P162</f>
        <v/>
      </c>
      <c r="Q163">
        <f>Q154-Q159-Q160-Q162</f>
        <v/>
      </c>
      <c r="R163">
        <f>R154-R159-R160-R162</f>
        <v/>
      </c>
      <c r="S163">
        <f>S154-S159-S160-S162</f>
        <v/>
      </c>
      <c r="T163">
        <f>T154-T159-T160-T162</f>
        <v/>
      </c>
      <c r="U163">
        <f>U154-U159-U160-U162</f>
        <v/>
      </c>
      <c r="V163">
        <f>V154-V159-V160-V162</f>
        <v/>
      </c>
      <c r="W163">
        <f>W154-W159-W160-W162</f>
        <v/>
      </c>
      <c r="X163">
        <f>X154-X159-X160-X162</f>
        <v/>
      </c>
      <c r="Y163">
        <f>Y154-Y159-Y160-Y162</f>
        <v/>
      </c>
      <c r="Z163">
        <f>Z154-Z159-Z160-Z162</f>
        <v/>
      </c>
      <c r="AA163">
        <f>AA154-AA159-AA160-AA162</f>
        <v/>
      </c>
      <c r="AB163">
        <f>AB154-AB159-AB160-AB162</f>
        <v/>
      </c>
      <c r="AC163">
        <f>AC154-AC159-AC160-AC162</f>
        <v/>
      </c>
      <c r="AD163">
        <f>AD154-AD159-AD160-AD162</f>
        <v/>
      </c>
      <c r="AE163">
        <f>AE154-AE159-AE160-AE162</f>
        <v/>
      </c>
      <c r="AF163">
        <f>AF154-AF159-AF160-AF162</f>
        <v/>
      </c>
      <c r="AG163">
        <f>AG154-AG159-AG160-AG162</f>
        <v/>
      </c>
      <c r="AH163">
        <f>AH154-AH159-AH160-AH162</f>
        <v/>
      </c>
      <c r="AI163">
        <f>AI154-AI159-AI160-AI162</f>
        <v/>
      </c>
      <c r="AJ163">
        <f>AJ154-AJ159-AJ160-AJ162</f>
        <v/>
      </c>
      <c r="AK163">
        <f>AK154-AK159-AK160-AK162</f>
        <v/>
      </c>
      <c r="AL163">
        <f>AL154-AL159-AL160-AL162</f>
        <v/>
      </c>
      <c r="AM163">
        <f>AM154-AM159-AM160-AM162</f>
        <v/>
      </c>
      <c r="AN163">
        <f>AN154-AN159-AN160-AN162</f>
        <v/>
      </c>
      <c r="AO163">
        <f>AO154-AO159-AO160-AO162</f>
        <v/>
      </c>
      <c r="AP163">
        <f>AP154-AP159-AP160-AP162</f>
        <v/>
      </c>
      <c r="AQ163">
        <f>AQ154-AQ159-AQ160-AQ162</f>
        <v/>
      </c>
      <c r="AR163">
        <f>AR154-AR159-AR160-AR162</f>
        <v/>
      </c>
      <c r="AS163">
        <f>AS154-AS159-AS160-AS162</f>
        <v/>
      </c>
      <c r="AT163">
        <f>AT154-AT159-AT160-AT162</f>
        <v/>
      </c>
      <c r="AU163">
        <f>AU154-AU159-AU160-AU162</f>
        <v/>
      </c>
      <c r="AV163">
        <f>AV154-AV159-AV160-AV162</f>
        <v/>
      </c>
      <c r="AW163">
        <f>AW154-AW159-AW160-AW162</f>
        <v/>
      </c>
      <c r="AX163">
        <f>AX154-AX159-AX160-AX162</f>
        <v/>
      </c>
      <c r="AY163">
        <f>AY154-AY159-AY160-AY162</f>
        <v/>
      </c>
      <c r="AZ163">
        <f>AZ154-AZ159-AZ160-AZ162</f>
        <v/>
      </c>
      <c r="BA163">
        <f>BA154-BA159-BA160-BA162</f>
        <v/>
      </c>
      <c r="BB163">
        <f>BB154-BB159-BB160-BB162</f>
        <v/>
      </c>
      <c r="BC163">
        <f>BC154-BC159-BC160-BC162</f>
        <v/>
      </c>
      <c r="BD163">
        <f>BD154-BD159-BD160-BD162</f>
        <v/>
      </c>
      <c r="BE163">
        <f>BE154-BE159-BE160-BE162</f>
        <v/>
      </c>
      <c r="BF163">
        <f>BF154-BF159-BF160-BF162</f>
        <v/>
      </c>
      <c r="BG163">
        <f>BG154-BG159-BG160-BG162</f>
        <v/>
      </c>
      <c r="BH163">
        <f>BH154-BH159-BH160-BH162</f>
        <v/>
      </c>
      <c r="BI163">
        <f>BI154-BI159-BI160-BI162</f>
        <v/>
      </c>
    </row>
    <row r="164" hidden="1" outlineLevel="2">
      <c r="A164" s="588" t="inlineStr">
        <is>
          <t>Valuación @ 1x ARR Año 2</t>
        </is>
      </c>
      <c r="B164">
        <f t="array" ref="B164:BI164">B163:BI163-IF(B163:BI163&gt;0,B163:BI163*$CZ$140,0)</f>
        <v/>
      </c>
      <c r="C164" t="n">
        <v>-75464.6089903125</v>
      </c>
      <c r="D164" t="n">
        <v>-74012.93656565</v>
      </c>
      <c r="E164" t="n">
        <v>-72771.45998225006</v>
      </c>
      <c r="F164" t="n">
        <v>-71079.36717781155</v>
      </c>
      <c r="G164" t="n">
        <v>-68144.06683965838</v>
      </c>
      <c r="H164" t="n">
        <v>-65240.00209586001</v>
      </c>
      <c r="I164" t="n">
        <v>-61024.21851142967</v>
      </c>
      <c r="J164" t="n">
        <v>-56465.75692484312</v>
      </c>
      <c r="K164" t="n">
        <v>-51717.97470469426</v>
      </c>
      <c r="L164" t="n">
        <v>-49635.66612061615</v>
      </c>
      <c r="M164" t="n">
        <v>-47632.81822998064</v>
      </c>
      <c r="N164" t="n">
        <v>-48400.83857858456</v>
      </c>
      <c r="O164" t="n">
        <v>-43710.26130190781</v>
      </c>
      <c r="P164" t="n">
        <v>-37408.4793926607</v>
      </c>
      <c r="Q164" t="n">
        <v>-33416.73151187257</v>
      </c>
      <c r="R164" t="n">
        <v>-32017.33208696717</v>
      </c>
      <c r="S164" t="n">
        <v>-28382.74343772046</v>
      </c>
      <c r="T164" t="n">
        <v>-25662.62378621841</v>
      </c>
      <c r="U164" t="n">
        <v>-22877.15154087089</v>
      </c>
      <c r="V164" t="n">
        <v>-20924.19132161475</v>
      </c>
      <c r="W164" t="n">
        <v>-16007.85627754372</v>
      </c>
      <c r="X164" t="n">
        <v>-11595.44798708253</v>
      </c>
      <c r="Y164" t="n">
        <v>-9129.154842648131</v>
      </c>
      <c r="Z164" t="n">
        <v>-2844.56558647647</v>
      </c>
      <c r="AA164" t="n">
        <v>2787.022338720327</v>
      </c>
      <c r="AB164" t="n">
        <v>9075.207771212039</v>
      </c>
      <c r="AC164" t="n">
        <v>11219.70592877453</v>
      </c>
      <c r="AD164" t="n">
        <v>13553.13615531216</v>
      </c>
      <c r="AE164" t="n">
        <v>17015.36702723205</v>
      </c>
      <c r="AF164" t="n">
        <v>16412.37350941778</v>
      </c>
      <c r="AG164" t="n">
        <v>18965.49211812192</v>
      </c>
      <c r="AH164" t="n">
        <v>20786.24189926543</v>
      </c>
      <c r="AI164" t="n">
        <v>24256.32214398257</v>
      </c>
      <c r="AJ164" t="n">
        <v>26530.63254543345</v>
      </c>
      <c r="AK164" t="n">
        <v>28715.08062807454</v>
      </c>
      <c r="AL164" t="n">
        <v>26420.35084549241</v>
      </c>
      <c r="AM164" t="n">
        <v>28550.60627908512</v>
      </c>
      <c r="AN164" t="n">
        <v>31789.84629208727</v>
      </c>
      <c r="AO164" t="n">
        <v>33792.25068783051</v>
      </c>
      <c r="AP164" t="n">
        <v>35748.77363519535</v>
      </c>
      <c r="AQ164" t="n">
        <v>38795.36436162584</v>
      </c>
      <c r="AR164" t="n">
        <v>37306.22305977096</v>
      </c>
      <c r="AS164" t="n">
        <v>40176.11608317868</v>
      </c>
      <c r="AT164" t="n">
        <v>41835.94050046011</v>
      </c>
      <c r="AU164" t="n">
        <v>44558.98762044839</v>
      </c>
      <c r="AV164" t="n">
        <v>46776.807162419</v>
      </c>
      <c r="AW164" t="n">
        <v>49405.09286121897</v>
      </c>
      <c r="AX164" t="n">
        <v>46414.98331093769</v>
      </c>
      <c r="AY164" t="n">
        <v>49593.1916744678</v>
      </c>
      <c r="AZ164" t="n">
        <v>52039.6018244584</v>
      </c>
      <c r="BA164" t="n">
        <v>53975.06635530824</v>
      </c>
      <c r="BB164" t="n">
        <v>56313.15593550108</v>
      </c>
      <c r="BC164" t="n">
        <v>59275.47055011113</v>
      </c>
      <c r="BD164" t="n">
        <v>55825.26460064659</v>
      </c>
      <c r="BE164" t="n">
        <v>58733.63115238862</v>
      </c>
      <c r="BF164" t="n">
        <v>60963.78547542929</v>
      </c>
      <c r="BG164" t="n">
        <v>62677.37542822945</v>
      </c>
      <c r="BH164" t="n">
        <v>65498.52841161603</v>
      </c>
      <c r="BI164" t="n">
        <v>67638.8510019431</v>
      </c>
    </row>
    <row r="165" hidden="1" outlineLevel="2">
      <c r="A165" s="568" t="inlineStr">
        <is>
          <t>Valuación @ 3x ARR Año 1</t>
        </is>
      </c>
      <c r="B165">
        <f>$DE$140+B164</f>
        <v/>
      </c>
      <c r="C165">
        <f>B165+C164</f>
        <v/>
      </c>
      <c r="D165">
        <f>C165+D164</f>
        <v/>
      </c>
      <c r="E165">
        <f>D165+E164</f>
        <v/>
      </c>
      <c r="F165">
        <f>E165+F164</f>
        <v/>
      </c>
      <c r="G165">
        <f>F165+G164</f>
        <v/>
      </c>
      <c r="H165">
        <f>G165+H164</f>
        <v/>
      </c>
      <c r="I165">
        <f>H165+I164</f>
        <v/>
      </c>
      <c r="J165">
        <f>I165+J164</f>
        <v/>
      </c>
      <c r="K165">
        <f>J165+K164</f>
        <v/>
      </c>
      <c r="L165">
        <f>K165+L164</f>
        <v/>
      </c>
      <c r="M165">
        <f>L165+M164</f>
        <v/>
      </c>
      <c r="N165">
        <f>M165+N164</f>
        <v/>
      </c>
      <c r="O165">
        <f>N165+O164</f>
        <v/>
      </c>
      <c r="P165">
        <f>O165+P164</f>
        <v/>
      </c>
      <c r="Q165">
        <f>P165+Q164</f>
        <v/>
      </c>
      <c r="R165">
        <f>Q165+R164</f>
        <v/>
      </c>
      <c r="S165">
        <f>R165+S164</f>
        <v/>
      </c>
      <c r="T165">
        <f>S165+T164</f>
        <v/>
      </c>
      <c r="U165">
        <f>T165+U164</f>
        <v/>
      </c>
      <c r="V165">
        <f>U165+V164</f>
        <v/>
      </c>
      <c r="W165">
        <f>V165+W164</f>
        <v/>
      </c>
      <c r="X165">
        <f>W165+X164</f>
        <v/>
      </c>
      <c r="Y165">
        <f>X165+Y164</f>
        <v/>
      </c>
      <c r="Z165">
        <f>Y165+Z164</f>
        <v/>
      </c>
      <c r="AA165">
        <f>Z165+AA164</f>
        <v/>
      </c>
      <c r="AB165">
        <f>AA165+AB164</f>
        <v/>
      </c>
      <c r="AC165">
        <f>AB165+AC164</f>
        <v/>
      </c>
      <c r="AD165">
        <f>AC165+AD164</f>
        <v/>
      </c>
      <c r="AE165">
        <f>AD165+AE164</f>
        <v/>
      </c>
      <c r="AF165">
        <f>AE165+AF164</f>
        <v/>
      </c>
      <c r="AG165">
        <f>AF165+AG164</f>
        <v/>
      </c>
      <c r="AH165">
        <f>AG165+AH164</f>
        <v/>
      </c>
      <c r="AI165">
        <f>AH165+AI164</f>
        <v/>
      </c>
      <c r="AJ165">
        <f>AI165+AJ164</f>
        <v/>
      </c>
      <c r="AK165">
        <f>AJ165+AK164</f>
        <v/>
      </c>
      <c r="AL165">
        <f>AK165+AL164</f>
        <v/>
      </c>
      <c r="AM165">
        <f>AL165+AM164</f>
        <v/>
      </c>
      <c r="AN165">
        <f>AM165+AN164</f>
        <v/>
      </c>
      <c r="AO165">
        <f>AN165+AO164</f>
        <v/>
      </c>
      <c r="AP165">
        <f>AO165+AP164</f>
        <v/>
      </c>
      <c r="AQ165">
        <f>AP165+AQ164</f>
        <v/>
      </c>
      <c r="AR165">
        <f>AQ165+AR164</f>
        <v/>
      </c>
      <c r="AS165">
        <f>AR165+AS164</f>
        <v/>
      </c>
      <c r="AT165">
        <f>AS165+AT164</f>
        <v/>
      </c>
      <c r="AU165">
        <f>AT165+AU164</f>
        <v/>
      </c>
      <c r="AV165">
        <f>AU165+AV164</f>
        <v/>
      </c>
      <c r="AW165">
        <f>AV165+AW164</f>
        <v/>
      </c>
      <c r="AX165">
        <f>AW165+AX164</f>
        <v/>
      </c>
      <c r="AY165">
        <f>AX165+AY164</f>
        <v/>
      </c>
      <c r="AZ165">
        <f>AY165+AZ164</f>
        <v/>
      </c>
      <c r="BA165">
        <f>AZ165+BA164</f>
        <v/>
      </c>
      <c r="BB165">
        <f>BA165+BB164</f>
        <v/>
      </c>
      <c r="BC165">
        <f>BB165+BC164</f>
        <v/>
      </c>
      <c r="BD165">
        <f>BC165+BD164</f>
        <v/>
      </c>
      <c r="BE165">
        <f>BD165+BE164</f>
        <v/>
      </c>
      <c r="BF165">
        <f>BE165+BF164</f>
        <v/>
      </c>
      <c r="BG165">
        <f>BF165+BG164</f>
        <v/>
      </c>
      <c r="BH165">
        <f>BG165+BH164</f>
        <v/>
      </c>
      <c r="BI165">
        <f>BH165+BI164</f>
        <v/>
      </c>
    </row>
    <row r="166" hidden="1" outlineLevel="2">
      <c r="A166" s="588" t="inlineStr">
        <is>
          <t>Valuación @ 5x ARR Año 1</t>
        </is>
      </c>
      <c r="B166" s="694">
        <f>B143*5</f>
        <v/>
      </c>
      <c r="C166" s="694">
        <f>C143*5</f>
        <v/>
      </c>
      <c r="D166" s="694">
        <f>D143*5</f>
        <v/>
      </c>
    </row>
    <row r="167" hidden="1" outlineLevel="2">
      <c r="A167" s="568" t="inlineStr">
        <is>
          <t>EBITDA Año 2</t>
        </is>
      </c>
      <c r="B167" s="695">
        <f>B153</f>
        <v/>
      </c>
      <c r="C167" s="695">
        <f>C153</f>
        <v/>
      </c>
      <c r="D167" s="695">
        <f>D153</f>
        <v/>
      </c>
      <c r="BJ167" t="n">
        <v>2</v>
      </c>
      <c r="BK167">
        <f>CHOOSE($BJ$167,Escenarios!$D$9,Escenarios!$E$9,Escenarios!$F$9)</f>
        <v/>
      </c>
      <c r="BL167">
        <f>CHOOSE($BJ$167,Escenarios!$D$10,Escenarios!$E$10,Escenarios!$F$10)</f>
        <v/>
      </c>
      <c r="BM167">
        <f>CHOOSE($BJ$167,Escenarios!$D$11,Escenarios!$E$11,Escenarios!$F$11)</f>
        <v/>
      </c>
      <c r="BN167">
        <f>CHOOSE($BJ$167,Escenarios!$D$12,Escenarios!$E$12,Escenarios!$F$12)</f>
        <v/>
      </c>
      <c r="BO167">
        <f>CHOOSE($BJ$167,Escenarios!$D$13,Escenarios!$E$13,Escenarios!$F$13)</f>
        <v/>
      </c>
      <c r="BP167">
        <f>Escenarios!$E$28*'Supuestos Generales'!$B$50+Escenarios!$E$29*'Supuestos Generales'!$B$51+Escenarios!$E$30*'Supuestos Generales'!$B$52</f>
        <v/>
      </c>
      <c r="BQ167">
        <f>CHOOSE($BJ$167,Escenarios!$D$17,Escenarios!$E$17,Escenarios!$F$17)</f>
        <v/>
      </c>
      <c r="BR167">
        <f>CHOOSE($BJ$167,Escenarios!$D$18,Escenarios!$E$18,Escenarios!$F$18)</f>
        <v/>
      </c>
      <c r="BS167">
        <f>(Escenarios!$E$28*'Supuestos Generales'!$B$46*(1-IF($BU$167&lt;1,0,IF($BU$167&lt;2,0.1,IF($BU$167&lt;3,0.2,IF($BU$167&lt;4,0.3,IF($BU$167&lt;5,0.4,0.5))))))+Escenarios!$E$29*'Supuestos Generales'!$B$47*(1-IF($BU$167&lt;1,0,IF($BU$167&lt;2,0.1,IF($BU$167&lt;3,0.2,IF($BU$167&lt;4,0.3,IF($BU$167&lt;5,0.4,0.5))))))+Escenarios!$E$30*'Supuestos Generales'!$B$48*(1-IF('Supuestos Generales'!$B$52&lt;=10,0,IF('Supuestos Generales'!$B$52&lt;=15,0.05,IF('Supuestos Generales'!$B$52&lt;=25,0.1,IF('Supuestos Generales'!$B$52&lt;=40,0.15,0.2)))))*(1-IF($BU$167&lt;1,0,IF($BU$167&lt;2,0.1,IF($BU$167&lt;3,0.2,IF($BU$167&lt;4,0.3,IF($BU$167&lt;5,0.4,0.5)))))))</f>
        <v/>
      </c>
      <c r="BT167">
        <f>CHOOSE($BJ$167,Escenarios!$D$20,Escenarios!$E$20,Escenarios!$F$20)</f>
        <v/>
      </c>
      <c r="BU167">
        <f>CHOOSE($BJ$167,Escenarios!$D$21,Escenarios!$E$21,Escenarios!$F$21)</f>
        <v/>
      </c>
      <c r="BV167">
        <f>CHOOSE($BJ$167,Escenarios!$D$22,Escenarios!$E$22,Escenarios!$F$22)</f>
        <v/>
      </c>
      <c r="BW167">
        <f>CHOOSE($BJ$167,Escenarios!$D$23,Escenarios!$E$23,Escenarios!$F$23)</f>
        <v/>
      </c>
      <c r="BX167">
        <f>CHOOSE($BJ$167,Escenarios!$D$24,Escenarios!$E$24,Escenarios!$F$24)</f>
        <v/>
      </c>
      <c r="BY167">
        <f>CHOOSE($BJ$167,Escenarios!$D$26,Escenarios!$E$26,Escenarios!$F$26)</f>
        <v/>
      </c>
      <c r="BZ167">
        <f>CHOOSE($BJ$167,Escenarios!$D$39,Escenarios!$E$39,Escenarios!$F$39)</f>
        <v/>
      </c>
      <c r="CA167">
        <f>CHOOSE($BJ$167,Escenarios!$D$34,Escenarios!$E$34,Escenarios!$F$34)</f>
        <v/>
      </c>
      <c r="CB167">
        <f>CHOOSE($BJ$167,Escenarios!$D$35,Escenarios!$E$35,Escenarios!$F$35)</f>
        <v/>
      </c>
      <c r="CC167">
        <f>CHOOSE($BJ$167,Escenarios!$D$36,Escenarios!$E$36,Escenarios!$F$36)</f>
        <v/>
      </c>
      <c r="CD167">
        <f>CHOOSE($BJ$167,Escenarios!$D$37,Escenarios!$E$37,Escenarios!$F$37)</f>
        <v/>
      </c>
      <c r="CE167">
        <f>CHOOSE($BJ$167,Escenarios!$D$38,Escenarios!$E$38,Escenarios!$F$38)</f>
        <v/>
      </c>
      <c r="CF167">
        <f>CHOOSE($BJ$167,Escenarios!$D$44,Escenarios!$E$44,Escenarios!$F$44)</f>
        <v/>
      </c>
      <c r="CG167">
        <f>CHOOSE($BJ$167,Escenarios!$D$45,Escenarios!$E$45,Escenarios!$F$45)</f>
        <v/>
      </c>
      <c r="CH167">
        <f>CHOOSE($BJ$167,Escenarios!$D$46,Escenarios!$E$46,Escenarios!$F$46)</f>
        <v/>
      </c>
      <c r="CI167">
        <f>CHOOSE($BJ$167,Escenarios!$D$47,Escenarios!$E$47,Escenarios!$F$47)</f>
        <v/>
      </c>
      <c r="CJ167">
        <f>CHOOSE($BJ$167,Escenarios!$D$48,Escenarios!$E$48,Escenarios!$F$48)</f>
        <v/>
      </c>
      <c r="CK167">
        <f>CHOOSE($BJ$167,Escenarios!$D$49,Escenarios!$E$49,Escenarios!$F$49)</f>
        <v/>
      </c>
      <c r="CL167">
        <f>CHOOSE($BJ$167,Escenarios!$D$50,Escenarios!$E$50,Escenarios!$F$50)</f>
        <v/>
      </c>
      <c r="CM167">
        <f>CHOOSE($BJ$167,Escenarios!$D$51,Escenarios!$E$51,Escenarios!$F$51)</f>
        <v/>
      </c>
      <c r="CN167">
        <f>SUMPRODUCT('Supuestos Generales'!$B$96:$B$99,'Supuestos Generales'!$B$102:$B$105)</f>
        <v/>
      </c>
      <c r="CO167">
        <f>SUMPRODUCT('Supuestos Generales'!$B$96:$B$99,'Supuestos Generales'!$B$107:$B$110)</f>
        <v/>
      </c>
      <c r="CP167">
        <f>IF('Supuestos Generales'!$B$94=1,'Supuestos Generales'!$B$88,'Supuestos Generales'!$B$89)</f>
        <v/>
      </c>
      <c r="CQ167">
        <f>'Supuestos Generales'!$B$91</f>
        <v/>
      </c>
      <c r="CR167" s="497">
        <f>'Supuestos Generales'!$B$90</f>
        <v/>
      </c>
      <c r="CS167">
        <f>'Supuestos Generales'!$B$93</f>
        <v/>
      </c>
      <c r="CT167" s="216">
        <f>'Supuestos Generales'!$B$113</f>
        <v/>
      </c>
      <c r="CU167">
        <f>'Supuestos Generales'!$B$114</f>
        <v/>
      </c>
      <c r="CV167">
        <f>'Supuestos Generales'!$B$66</f>
        <v/>
      </c>
      <c r="CW167">
        <f>SUM('Supuestos Generales'!$B$118:$B$124)</f>
        <v/>
      </c>
      <c r="CX167">
        <f>'Supuestos Generales'!$B$126</f>
        <v/>
      </c>
      <c r="CY167">
        <f>'Supuestos Generales'!$B$85</f>
        <v/>
      </c>
      <c r="CZ167">
        <f>'Supuestos Generales'!$B$38</f>
        <v/>
      </c>
      <c r="DA167">
        <f>'Supuestos Generales'!$B$37</f>
        <v/>
      </c>
      <c r="DB167">
        <f>'Supuestos Generales'!$B$24</f>
        <v/>
      </c>
      <c r="DC167">
        <f>'Supuestos Generales'!$B$25</f>
        <v/>
      </c>
      <c r="DD167">
        <f>'Supuestos Generales'!$B$29</f>
        <v/>
      </c>
      <c r="DE167">
        <f>CHOOSE($BJ$167,Escenarios!$D$40,Escenarios!$E$40,Escenarios!$F$40)</f>
        <v/>
      </c>
      <c r="DF167" t="inlineStr">
        <is>
          <t>2 (Coca-Cola + ACODRES)</t>
        </is>
      </c>
      <c r="DG167">
        <f>INDEX(B173:BI173,60)</f>
        <v/>
      </c>
      <c r="DH167">
        <f>SUM(B181:BI181)</f>
        <v/>
      </c>
      <c r="DI167">
        <f>SUM(B186:BI186)</f>
        <v/>
      </c>
      <c r="DJ167">
        <f>DH167-DI167</f>
        <v/>
      </c>
      <c r="DK167">
        <f>SUM(B190:BI190)</f>
        <v/>
      </c>
      <c r="DL167">
        <f>SUM(B191:BI191)</f>
        <v/>
      </c>
      <c r="DM167">
        <f>INDEX(B192:BI192,60)</f>
        <v/>
      </c>
      <c r="DN167">
        <f>(INDEX(B181:BI181,60)-INDEX(B177:BI177,60))*12</f>
        <v/>
      </c>
      <c r="DO167">
        <f>SUM(B190:M190)</f>
        <v/>
      </c>
      <c r="DP167">
        <f>SUM(AX190:BI190)</f>
        <v/>
      </c>
    </row>
    <row r="168" hidden="1" outlineLevel="2">
      <c r="A168" s="590" t="inlineStr">
        <is>
          <t>Valuación @ 10x EBITDA Año 2</t>
        </is>
      </c>
      <c r="B168">
        <f t="array" ref="B168:BI168">_xlfn.LET(_xlpm.m,_xlfn.SEQUENCE(1,60),IF(_xlpm.m&lt;='Supuestos Generales'!$C$12,$BK$167,IF(_xlpm.m&lt;='Supuestos Generales'!$C$13,$BL$167,IF(_xlpm.m&lt;='Supuestos Generales'!$C$14,$BM$167,IF(_xlpm.m&lt;='Supuestos Generales'!$C$15,$BN$167,$BO$167)))))</f>
        <v/>
      </c>
      <c r="C168" t="n">
        <v>3</v>
      </c>
      <c r="D168" t="n">
        <v>3</v>
      </c>
      <c r="E168" t="n">
        <v>5</v>
      </c>
      <c r="F168" t="n">
        <v>5</v>
      </c>
      <c r="G168" t="n">
        <v>5</v>
      </c>
      <c r="H168" t="n">
        <v>9</v>
      </c>
      <c r="I168" t="n">
        <v>9</v>
      </c>
      <c r="J168" t="n">
        <v>9</v>
      </c>
      <c r="K168" t="n">
        <v>9</v>
      </c>
      <c r="L168" t="n">
        <v>9</v>
      </c>
      <c r="M168" t="n">
        <v>9</v>
      </c>
      <c r="N168" t="n">
        <v>15</v>
      </c>
      <c r="O168" t="n">
        <v>15</v>
      </c>
      <c r="P168" t="n">
        <v>15</v>
      </c>
      <c r="Q168" t="n">
        <v>15</v>
      </c>
      <c r="R168" t="n">
        <v>15</v>
      </c>
      <c r="S168" t="n">
        <v>15</v>
      </c>
      <c r="T168" t="n">
        <v>15</v>
      </c>
      <c r="U168" t="n">
        <v>15</v>
      </c>
      <c r="V168" t="n">
        <v>15</v>
      </c>
      <c r="W168" t="n">
        <v>15</v>
      </c>
      <c r="X168" t="n">
        <v>15</v>
      </c>
      <c r="Y168" t="n">
        <v>15</v>
      </c>
      <c r="Z168" t="n">
        <v>22</v>
      </c>
      <c r="AA168" t="n">
        <v>22</v>
      </c>
      <c r="AB168" t="n">
        <v>22</v>
      </c>
      <c r="AC168" t="n">
        <v>22</v>
      </c>
      <c r="AD168" t="n">
        <v>22</v>
      </c>
      <c r="AE168" t="n">
        <v>22</v>
      </c>
      <c r="AF168" t="n">
        <v>22</v>
      </c>
      <c r="AG168" t="n">
        <v>22</v>
      </c>
      <c r="AH168" t="n">
        <v>22</v>
      </c>
      <c r="AI168" t="n">
        <v>22</v>
      </c>
      <c r="AJ168" t="n">
        <v>22</v>
      </c>
      <c r="AK168" t="n">
        <v>22</v>
      </c>
      <c r="AL168" t="n">
        <v>22</v>
      </c>
      <c r="AM168" t="n">
        <v>22</v>
      </c>
      <c r="AN168" t="n">
        <v>22</v>
      </c>
      <c r="AO168" t="n">
        <v>22</v>
      </c>
      <c r="AP168" t="n">
        <v>22</v>
      </c>
      <c r="AQ168" t="n">
        <v>22</v>
      </c>
      <c r="AR168" t="n">
        <v>22</v>
      </c>
      <c r="AS168" t="n">
        <v>22</v>
      </c>
      <c r="AT168" t="n">
        <v>22</v>
      </c>
      <c r="AU168" t="n">
        <v>22</v>
      </c>
      <c r="AV168" t="n">
        <v>22</v>
      </c>
      <c r="AW168" t="n">
        <v>22</v>
      </c>
      <c r="AX168" t="n">
        <v>22</v>
      </c>
      <c r="AY168" t="n">
        <v>22</v>
      </c>
      <c r="AZ168" t="n">
        <v>22</v>
      </c>
      <c r="BA168" t="n">
        <v>22</v>
      </c>
      <c r="BB168" t="n">
        <v>22</v>
      </c>
      <c r="BC168" t="n">
        <v>22</v>
      </c>
      <c r="BD168" t="n">
        <v>22</v>
      </c>
      <c r="BE168" t="n">
        <v>22</v>
      </c>
      <c r="BF168" t="n">
        <v>22</v>
      </c>
      <c r="BG168" t="n">
        <v>22</v>
      </c>
      <c r="BH168" t="n">
        <v>22</v>
      </c>
      <c r="BI168" t="n">
        <v>22</v>
      </c>
    </row>
    <row r="169" hidden="1" outlineLevel="2">
      <c r="A169" t="inlineStr">
        <is>
          <t>Referral m-1</t>
        </is>
      </c>
      <c r="B169">
        <f t="array" ref="B169:BI169">_xlfn.HSTACK(0,_xlfn.TAKE(_xlfn.ANCHORARRAY(B168)+_xlfn.ANCHORARRAY(B171),,59)*$CQ$167/2)</f>
        <v/>
      </c>
      <c r="C169" t="n">
        <v>3</v>
      </c>
      <c r="D169" t="n">
        <v>3</v>
      </c>
      <c r="E169" t="n">
        <v>3</v>
      </c>
      <c r="F169" t="n">
        <v>5</v>
      </c>
      <c r="G169" t="n">
        <v>5</v>
      </c>
      <c r="H169" t="n">
        <v>7</v>
      </c>
      <c r="I169" t="n">
        <v>15</v>
      </c>
      <c r="J169" t="n">
        <v>17</v>
      </c>
      <c r="K169" t="n">
        <v>21</v>
      </c>
      <c r="L169" t="n">
        <v>23</v>
      </c>
      <c r="M169" t="n">
        <v>25</v>
      </c>
      <c r="N169" t="n">
        <v>29</v>
      </c>
      <c r="O169" t="n">
        <v>37</v>
      </c>
      <c r="P169" t="n">
        <v>41</v>
      </c>
      <c r="Q169" t="n">
        <v>43</v>
      </c>
      <c r="R169" t="n">
        <v>45</v>
      </c>
      <c r="S169" t="n">
        <v>49</v>
      </c>
      <c r="T169" t="n">
        <v>51</v>
      </c>
      <c r="U169" t="n">
        <v>53</v>
      </c>
      <c r="V169" t="n">
        <v>57</v>
      </c>
      <c r="W169" t="n">
        <v>59</v>
      </c>
      <c r="X169" t="n">
        <v>63</v>
      </c>
      <c r="Y169" t="n">
        <v>65</v>
      </c>
      <c r="Z169" t="n">
        <v>65</v>
      </c>
      <c r="AA169" t="n">
        <v>72</v>
      </c>
      <c r="AB169" t="n">
        <v>72</v>
      </c>
      <c r="AC169" t="n">
        <v>72</v>
      </c>
      <c r="AD169" t="n">
        <v>72</v>
      </c>
      <c r="AE169" t="n">
        <v>72</v>
      </c>
      <c r="AF169" t="n">
        <v>72</v>
      </c>
      <c r="AG169" t="n">
        <v>72</v>
      </c>
      <c r="AH169" t="n">
        <v>72</v>
      </c>
      <c r="AI169" t="n">
        <v>72</v>
      </c>
      <c r="AJ169" t="n">
        <v>72</v>
      </c>
      <c r="AK169" t="n">
        <v>72</v>
      </c>
      <c r="AL169" t="n">
        <v>72</v>
      </c>
      <c r="AM169" t="n">
        <v>72</v>
      </c>
      <c r="AN169" t="n">
        <v>72</v>
      </c>
      <c r="AO169" t="n">
        <v>72</v>
      </c>
      <c r="AP169" t="n">
        <v>72</v>
      </c>
      <c r="AQ169" t="n">
        <v>72</v>
      </c>
      <c r="AR169" t="n">
        <v>72</v>
      </c>
      <c r="AS169" t="n">
        <v>72</v>
      </c>
      <c r="AT169" t="n">
        <v>72</v>
      </c>
      <c r="AU169" t="n">
        <v>72</v>
      </c>
      <c r="AV169" t="n">
        <v>72</v>
      </c>
      <c r="AW169" t="n">
        <v>72</v>
      </c>
      <c r="AX169" t="n">
        <v>72</v>
      </c>
      <c r="AY169" t="n">
        <v>72</v>
      </c>
      <c r="AZ169" t="n">
        <v>72</v>
      </c>
      <c r="BA169" t="n">
        <v>72</v>
      </c>
      <c r="BB169" t="n">
        <v>72</v>
      </c>
      <c r="BC169" t="n">
        <v>72</v>
      </c>
      <c r="BD169" t="n">
        <v>72</v>
      </c>
      <c r="BE169" t="n">
        <v>72</v>
      </c>
      <c r="BF169" t="n">
        <v>72</v>
      </c>
      <c r="BG169" t="n">
        <v>72</v>
      </c>
      <c r="BH169" t="n">
        <v>72</v>
      </c>
      <c r="BI169" t="n">
        <v>72</v>
      </c>
    </row>
    <row r="170" hidden="1" outlineLevel="2">
      <c r="A170" t="inlineStr">
        <is>
          <t>Referral m-2</t>
        </is>
      </c>
      <c r="B170">
        <f t="array" ref="B170:BI170">_xlfn.HSTACK(0,0,_xlfn.TAKE(_xlfn.ANCHORARRAY(B168)+_xlfn.ANCHORARRAY(B171),,58)*$CQ$167/2)</f>
        <v/>
      </c>
      <c r="C170" t="n">
        <v>0</v>
      </c>
      <c r="D170" t="n">
        <v>3</v>
      </c>
      <c r="E170" t="n">
        <v>3</v>
      </c>
      <c r="F170" t="n">
        <v>3</v>
      </c>
      <c r="G170" t="n">
        <v>5</v>
      </c>
      <c r="H170" t="n">
        <v>5</v>
      </c>
      <c r="I170" t="n">
        <v>7</v>
      </c>
      <c r="J170" t="n">
        <v>15</v>
      </c>
      <c r="K170" t="n">
        <v>17</v>
      </c>
      <c r="L170" t="n">
        <v>21</v>
      </c>
      <c r="M170" t="n">
        <v>23</v>
      </c>
      <c r="N170" t="n">
        <v>25</v>
      </c>
      <c r="O170" t="n">
        <v>29</v>
      </c>
      <c r="P170" t="n">
        <v>37</v>
      </c>
      <c r="Q170" t="n">
        <v>41</v>
      </c>
      <c r="R170" t="n">
        <v>43</v>
      </c>
      <c r="S170" t="n">
        <v>45</v>
      </c>
      <c r="T170" t="n">
        <v>49</v>
      </c>
      <c r="U170" t="n">
        <v>51</v>
      </c>
      <c r="V170" t="n">
        <v>53</v>
      </c>
      <c r="W170" t="n">
        <v>57</v>
      </c>
      <c r="X170" t="n">
        <v>59</v>
      </c>
      <c r="Y170" t="n">
        <v>63</v>
      </c>
      <c r="Z170" t="n">
        <v>65</v>
      </c>
      <c r="AA170" t="n">
        <v>65</v>
      </c>
      <c r="AB170" t="n">
        <v>72</v>
      </c>
      <c r="AC170" t="n">
        <v>72</v>
      </c>
      <c r="AD170" t="n">
        <v>72</v>
      </c>
      <c r="AE170" t="n">
        <v>72</v>
      </c>
      <c r="AF170" t="n">
        <v>72</v>
      </c>
      <c r="AG170" t="n">
        <v>72</v>
      </c>
      <c r="AH170" t="n">
        <v>72</v>
      </c>
      <c r="AI170" t="n">
        <v>72</v>
      </c>
      <c r="AJ170" t="n">
        <v>72</v>
      </c>
      <c r="AK170" t="n">
        <v>72</v>
      </c>
      <c r="AL170" t="n">
        <v>72</v>
      </c>
      <c r="AM170" t="n">
        <v>72</v>
      </c>
      <c r="AN170" t="n">
        <v>72</v>
      </c>
      <c r="AO170" t="n">
        <v>72</v>
      </c>
      <c r="AP170" t="n">
        <v>72</v>
      </c>
      <c r="AQ170" t="n">
        <v>72</v>
      </c>
      <c r="AR170" t="n">
        <v>72</v>
      </c>
      <c r="AS170" t="n">
        <v>72</v>
      </c>
      <c r="AT170" t="n">
        <v>72</v>
      </c>
      <c r="AU170" t="n">
        <v>72</v>
      </c>
      <c r="AV170" t="n">
        <v>72</v>
      </c>
      <c r="AW170" t="n">
        <v>72</v>
      </c>
      <c r="AX170" t="n">
        <v>72</v>
      </c>
      <c r="AY170" t="n">
        <v>72</v>
      </c>
      <c r="AZ170" t="n">
        <v>72</v>
      </c>
      <c r="BA170" t="n">
        <v>72</v>
      </c>
      <c r="BB170" t="n">
        <v>72</v>
      </c>
      <c r="BC170" t="n">
        <v>72</v>
      </c>
      <c r="BD170" t="n">
        <v>72</v>
      </c>
      <c r="BE170" t="n">
        <v>72</v>
      </c>
      <c r="BF170" t="n">
        <v>72</v>
      </c>
      <c r="BG170" t="n">
        <v>72</v>
      </c>
      <c r="BH170" t="n">
        <v>72</v>
      </c>
      <c r="BI170" t="n">
        <v>72</v>
      </c>
    </row>
    <row r="171" hidden="1" outlineLevel="2" ht="18" customHeight="1">
      <c r="A171" s="519" t="inlineStr">
        <is>
          <t>8. CRECIMIENTO DE RESTAURANTES POR AÑO (Escenario Activo)</t>
        </is>
      </c>
      <c r="B171">
        <f t="array" ref="B171:BI171">_xlfn.LET(_xlpm.m,_xlfn.SEQUENCE(1,60),IF(($CF$167=1)*(_xlpm.m&gt;=Palancas!$B$15),IF(ROUND($CK$167*(_xlpm.m-Palancas!$B$15+1)/$CM$167,0)&lt;$CK$167,ROUND($CK$167*(_xlpm.m-Palancas!$B$15+1)/$CM$167,0),$CK$167),0)+IF(($CG$167=1)*(_xlpm.m&gt;=Palancas!$F$15),IF(ROUND($CK$167*(_xlpm.m-Palancas!$F$15+1)/$CM$167,0)&lt;$CK$167,ROUND($CK$167*(_xlpm.m-Palancas!$F$15+1)/$CM$167,0),$CK$167),0)+IF(($CH$167=1)*(_xlpm.m&gt;=Palancas!$B$23),IF(ROUND($CK$167*(_xlpm.m-Palancas!$B$23+1)/$CM$167,0)&lt;$CK$167,ROUND($CK$167*(_xlpm.m-Palancas!$B$23+1)/$CM$167,0),$CK$167),0)+IF(($CI$167=1)*(_xlpm.m&gt;=Palancas!$F$23),IF(ROUND($CK$167*(_xlpm.m-Palancas!$F$23+1)/$CM$167,0)&lt;$CK$167,ROUND($CK$167*(_xlpm.m-Palancas!$F$23+1)/$CM$167,0),$CK$167),0)+IF(($CJ$167=1)*(_xlpm.m&gt;=Palancas!$B$31)*(_xlpm.m&lt;=MIN(60,Palancas!$B$31+CEILING(Palancas!$B$30/$CL$167,1)-1)),IF(ROUND($CL$167*(_xlpm.m-Palancas!$B$31+1)/$CM$167,0)&lt;$CL$167,ROUND($CL$167*(_xlpm.m-Palancas!$B$31+1)/$CM$167,0),$CL$167),0))</f>
        <v/>
      </c>
      <c r="C171" t="n">
        <v>0</v>
      </c>
      <c r="D171" t="n">
        <v>0</v>
      </c>
      <c r="E171" t="n">
        <v>0</v>
      </c>
      <c r="F171" t="n">
        <v>0</v>
      </c>
      <c r="G171" t="n">
        <v>2</v>
      </c>
      <c r="H171" t="n">
        <v>6</v>
      </c>
      <c r="I171" t="n">
        <v>8</v>
      </c>
      <c r="J171" t="n">
        <v>12</v>
      </c>
      <c r="K171" t="n">
        <v>14</v>
      </c>
      <c r="L171" t="n">
        <v>16</v>
      </c>
      <c r="M171" t="n">
        <v>20</v>
      </c>
      <c r="N171" t="n">
        <v>22</v>
      </c>
      <c r="O171" t="n">
        <v>26</v>
      </c>
      <c r="P171" t="n">
        <v>28</v>
      </c>
      <c r="Q171" t="n">
        <v>30</v>
      </c>
      <c r="R171" t="n">
        <v>34</v>
      </c>
      <c r="S171" t="n">
        <v>36</v>
      </c>
      <c r="T171" t="n">
        <v>38</v>
      </c>
      <c r="U171" t="n">
        <v>42</v>
      </c>
      <c r="V171" t="n">
        <v>44</v>
      </c>
      <c r="W171" t="n">
        <v>48</v>
      </c>
      <c r="X171" t="n">
        <v>50</v>
      </c>
      <c r="Y171" t="n">
        <v>50</v>
      </c>
      <c r="Z171" t="n">
        <v>50</v>
      </c>
      <c r="AA171" t="n">
        <v>50</v>
      </c>
      <c r="AB171" t="n">
        <v>50</v>
      </c>
      <c r="AC171" t="n">
        <v>50</v>
      </c>
      <c r="AD171" t="n">
        <v>50</v>
      </c>
      <c r="AE171" t="n">
        <v>50</v>
      </c>
      <c r="AF171" t="n">
        <v>50</v>
      </c>
      <c r="AG171" t="n">
        <v>50</v>
      </c>
      <c r="AH171" t="n">
        <v>50</v>
      </c>
      <c r="AI171" t="n">
        <v>50</v>
      </c>
      <c r="AJ171" t="n">
        <v>50</v>
      </c>
      <c r="AK171" t="n">
        <v>50</v>
      </c>
      <c r="AL171" t="n">
        <v>50</v>
      </c>
      <c r="AM171" t="n">
        <v>50</v>
      </c>
      <c r="AN171" t="n">
        <v>50</v>
      </c>
      <c r="AO171" t="n">
        <v>50</v>
      </c>
      <c r="AP171" t="n">
        <v>50</v>
      </c>
      <c r="AQ171" t="n">
        <v>50</v>
      </c>
      <c r="AR171" t="n">
        <v>50</v>
      </c>
      <c r="AS171" t="n">
        <v>50</v>
      </c>
      <c r="AT171" t="n">
        <v>50</v>
      </c>
      <c r="AU171" t="n">
        <v>50</v>
      </c>
      <c r="AV171" t="n">
        <v>50</v>
      </c>
      <c r="AW171" t="n">
        <v>50</v>
      </c>
      <c r="AX171" t="n">
        <v>50</v>
      </c>
      <c r="AY171" t="n">
        <v>50</v>
      </c>
      <c r="AZ171" t="n">
        <v>50</v>
      </c>
      <c r="BA171" t="n">
        <v>50</v>
      </c>
      <c r="BB171" t="n">
        <v>50</v>
      </c>
      <c r="BC171" t="n">
        <v>50</v>
      </c>
      <c r="BD171" t="n">
        <v>50</v>
      </c>
      <c r="BE171" t="n">
        <v>50</v>
      </c>
      <c r="BF171" t="n">
        <v>50</v>
      </c>
      <c r="BG171" t="n">
        <v>50</v>
      </c>
      <c r="BH171" t="n">
        <v>50</v>
      </c>
      <c r="BI171" t="n">
        <v>50</v>
      </c>
    </row>
    <row r="172" hidden="1" outlineLevel="2">
      <c r="A172" s="530" t="inlineStr">
        <is>
          <t>Concepto</t>
        </is>
      </c>
      <c r="B172">
        <f t="array" ref="B172:BI172">_xlfn.ANCHORARRAY(B168)+_xlfn.ANCHORARRAY(B169)+_xlfn.ANCHORARRAY(B170)+_xlfn.ANCHORARRAY(B171)</f>
        <v/>
      </c>
      <c r="C172" t="n">
        <v>6</v>
      </c>
      <c r="D172" t="n">
        <v>9</v>
      </c>
      <c r="E172" t="n">
        <v>11</v>
      </c>
      <c r="F172" t="n">
        <v>13</v>
      </c>
      <c r="G172" t="n">
        <v>17</v>
      </c>
      <c r="H172" t="n">
        <v>27</v>
      </c>
      <c r="I172" t="n">
        <v>39</v>
      </c>
      <c r="J172" t="n">
        <v>53</v>
      </c>
      <c r="K172" t="n">
        <v>61</v>
      </c>
      <c r="L172" t="n">
        <v>69</v>
      </c>
      <c r="M172" t="n">
        <v>77</v>
      </c>
      <c r="N172" t="n">
        <v>91</v>
      </c>
      <c r="O172" t="n">
        <v>107</v>
      </c>
      <c r="P172" t="n">
        <v>121</v>
      </c>
      <c r="Q172" t="n">
        <v>129</v>
      </c>
      <c r="R172" t="n">
        <v>137</v>
      </c>
      <c r="S172" t="n">
        <v>145</v>
      </c>
      <c r="T172" t="n">
        <v>153</v>
      </c>
      <c r="U172" t="n">
        <v>161</v>
      </c>
      <c r="V172" t="n">
        <v>169</v>
      </c>
      <c r="W172" t="n">
        <v>179</v>
      </c>
      <c r="X172" t="n">
        <v>187</v>
      </c>
      <c r="Y172" t="n">
        <v>193</v>
      </c>
      <c r="Z172" t="n">
        <v>202</v>
      </c>
      <c r="AA172" t="n">
        <v>209</v>
      </c>
      <c r="AB172" t="n">
        <v>216</v>
      </c>
      <c r="AC172" t="n">
        <v>216</v>
      </c>
      <c r="AD172" t="n">
        <v>216</v>
      </c>
      <c r="AE172" t="n">
        <v>216</v>
      </c>
      <c r="AF172" t="n">
        <v>216</v>
      </c>
      <c r="AG172" t="n">
        <v>216</v>
      </c>
      <c r="AH172" t="n">
        <v>216</v>
      </c>
      <c r="AI172" t="n">
        <v>216</v>
      </c>
      <c r="AJ172" t="n">
        <v>216</v>
      </c>
      <c r="AK172" t="n">
        <v>216</v>
      </c>
      <c r="AL172" t="n">
        <v>216</v>
      </c>
      <c r="AM172" t="n">
        <v>216</v>
      </c>
      <c r="AN172" t="n">
        <v>216</v>
      </c>
      <c r="AO172" t="n">
        <v>216</v>
      </c>
      <c r="AP172" t="n">
        <v>216</v>
      </c>
      <c r="AQ172" t="n">
        <v>216</v>
      </c>
      <c r="AR172" t="n">
        <v>216</v>
      </c>
      <c r="AS172" t="n">
        <v>216</v>
      </c>
      <c r="AT172" t="n">
        <v>216</v>
      </c>
      <c r="AU172" t="n">
        <v>216</v>
      </c>
      <c r="AV172" t="n">
        <v>216</v>
      </c>
      <c r="AW172" t="n">
        <v>216</v>
      </c>
      <c r="AX172" t="n">
        <v>216</v>
      </c>
      <c r="AY172" t="n">
        <v>216</v>
      </c>
      <c r="AZ172" t="n">
        <v>216</v>
      </c>
      <c r="BA172" t="n">
        <v>216</v>
      </c>
      <c r="BB172" t="n">
        <v>216</v>
      </c>
      <c r="BC172" t="n">
        <v>216</v>
      </c>
      <c r="BD172" t="n">
        <v>216</v>
      </c>
      <c r="BE172" t="n">
        <v>216</v>
      </c>
      <c r="BF172" t="n">
        <v>216</v>
      </c>
      <c r="BG172" t="n">
        <v>216</v>
      </c>
      <c r="BH172" t="n">
        <v>216</v>
      </c>
      <c r="BI172" t="n">
        <v>216</v>
      </c>
    </row>
    <row r="173" hidden="1" outlineLevel="2">
      <c r="A173" s="591" t="inlineStr">
        <is>
          <t>Nuevos directos (orgánicos)</t>
        </is>
      </c>
      <c r="B173">
        <f t="array" ref="B173:BI173">_xlfn.LET(_xlpm.n,_xlfn.ANCHORARRAY(B172),_xlpm.ch,$BQ$167,_xlfn.SCAN(0,_xlpm.n,_xlfn.LAMBDA(_xlpm.prev,_xlpm.new,_xlpm.prev+_xlpm.new-ROUND(_xlpm.prev*_xlpm.ch,0))))</f>
        <v/>
      </c>
      <c r="C173" t="n">
        <v>9</v>
      </c>
      <c r="D173" t="n">
        <v>18</v>
      </c>
      <c r="E173" t="n">
        <v>28</v>
      </c>
      <c r="F173" t="n">
        <v>40</v>
      </c>
      <c r="G173" t="n">
        <v>56</v>
      </c>
      <c r="H173" t="n">
        <v>81</v>
      </c>
      <c r="I173" t="n">
        <v>118</v>
      </c>
      <c r="J173" t="n">
        <v>167</v>
      </c>
      <c r="K173" t="n">
        <v>223</v>
      </c>
      <c r="L173" t="n">
        <v>285</v>
      </c>
      <c r="M173" t="n">
        <v>353</v>
      </c>
      <c r="N173" t="n">
        <v>433</v>
      </c>
      <c r="O173" t="n">
        <v>527</v>
      </c>
      <c r="P173" t="n">
        <v>632</v>
      </c>
      <c r="Q173" t="n">
        <v>742</v>
      </c>
      <c r="R173" t="n">
        <v>857</v>
      </c>
      <c r="S173" t="n">
        <v>976</v>
      </c>
      <c r="T173" t="n">
        <v>1100</v>
      </c>
      <c r="U173" t="n">
        <v>1228</v>
      </c>
      <c r="V173" t="n">
        <v>1360</v>
      </c>
      <c r="W173" t="n">
        <v>1498</v>
      </c>
      <c r="X173" t="n">
        <v>1640</v>
      </c>
      <c r="Y173" t="n">
        <v>1784</v>
      </c>
      <c r="Z173" t="n">
        <v>1932</v>
      </c>
      <c r="AA173" t="n">
        <v>2083</v>
      </c>
      <c r="AB173" t="n">
        <v>2237</v>
      </c>
      <c r="AC173" t="n">
        <v>2386</v>
      </c>
      <c r="AD173" t="n">
        <v>2530</v>
      </c>
      <c r="AE173" t="n">
        <v>2670</v>
      </c>
      <c r="AF173" t="n">
        <v>2806</v>
      </c>
      <c r="AG173" t="n">
        <v>2938</v>
      </c>
      <c r="AH173" t="n">
        <v>3066</v>
      </c>
      <c r="AI173" t="n">
        <v>3190</v>
      </c>
      <c r="AJ173" t="n">
        <v>3310</v>
      </c>
      <c r="AK173" t="n">
        <v>3427</v>
      </c>
      <c r="AL173" t="n">
        <v>3540</v>
      </c>
      <c r="AM173" t="n">
        <v>3650</v>
      </c>
      <c r="AN173" t="n">
        <v>3756</v>
      </c>
      <c r="AO173" t="n">
        <v>3859</v>
      </c>
      <c r="AP173" t="n">
        <v>3959</v>
      </c>
      <c r="AQ173" t="n">
        <v>4056</v>
      </c>
      <c r="AR173" t="n">
        <v>4150</v>
      </c>
      <c r="AS173" t="n">
        <v>4241</v>
      </c>
      <c r="AT173" t="n">
        <v>4330</v>
      </c>
      <c r="AU173" t="n">
        <v>4416</v>
      </c>
      <c r="AV173" t="n">
        <v>4500</v>
      </c>
      <c r="AW173" t="n">
        <v>4581</v>
      </c>
      <c r="AX173" t="n">
        <v>4660</v>
      </c>
      <c r="AY173" t="n">
        <v>4736</v>
      </c>
      <c r="AZ173" t="n">
        <v>4810</v>
      </c>
      <c r="BA173" t="n">
        <v>4882</v>
      </c>
      <c r="BB173" t="n">
        <v>4952</v>
      </c>
      <c r="BC173" t="n">
        <v>5019</v>
      </c>
      <c r="BD173" t="n">
        <v>5084</v>
      </c>
      <c r="BE173" t="n">
        <v>5147</v>
      </c>
      <c r="BF173" t="n">
        <v>5209</v>
      </c>
      <c r="BG173" t="n">
        <v>5269</v>
      </c>
      <c r="BH173" t="n">
        <v>5327</v>
      </c>
      <c r="BI173" t="n">
        <v>5383</v>
      </c>
    </row>
    <row r="174" hidden="1" outlineLevel="2">
      <c r="A174" s="568" t="inlineStr">
        <is>
          <t>Nuevos vía alianzas</t>
        </is>
      </c>
      <c r="B174">
        <f t="array" ref="B174:BI174">_xlfn.HSTACK(0,ROUND(_xlfn.TAKE(_xlfn.ANCHORARRAY(B173),,59)*$BQ$167,0))</f>
        <v/>
      </c>
      <c r="C174" t="n">
        <v>0</v>
      </c>
      <c r="D174" t="n">
        <v>0</v>
      </c>
      <c r="E174" t="n">
        <v>1</v>
      </c>
      <c r="F174" t="n">
        <v>1</v>
      </c>
      <c r="G174" t="n">
        <v>1</v>
      </c>
      <c r="H174" t="n">
        <v>2</v>
      </c>
      <c r="I174" t="n">
        <v>2</v>
      </c>
      <c r="J174" t="n">
        <v>4</v>
      </c>
      <c r="K174" t="n">
        <v>5</v>
      </c>
      <c r="L174" t="n">
        <v>7</v>
      </c>
      <c r="M174" t="n">
        <v>9</v>
      </c>
      <c r="N174" t="n">
        <v>11</v>
      </c>
      <c r="O174" t="n">
        <v>13</v>
      </c>
      <c r="P174" t="n">
        <v>16</v>
      </c>
      <c r="Q174" t="n">
        <v>19</v>
      </c>
      <c r="R174" t="n">
        <v>22</v>
      </c>
      <c r="S174" t="n">
        <v>26</v>
      </c>
      <c r="T174" t="n">
        <v>29</v>
      </c>
      <c r="U174" t="n">
        <v>33</v>
      </c>
      <c r="V174" t="n">
        <v>37</v>
      </c>
      <c r="W174" t="n">
        <v>41</v>
      </c>
      <c r="X174" t="n">
        <v>45</v>
      </c>
      <c r="Y174" t="n">
        <v>49</v>
      </c>
      <c r="Z174" t="n">
        <v>54</v>
      </c>
      <c r="AA174" t="n">
        <v>58</v>
      </c>
      <c r="AB174" t="n">
        <v>62</v>
      </c>
      <c r="AC174" t="n">
        <v>67</v>
      </c>
      <c r="AD174" t="n">
        <v>72</v>
      </c>
      <c r="AE174" t="n">
        <v>76</v>
      </c>
      <c r="AF174" t="n">
        <v>80</v>
      </c>
      <c r="AG174" t="n">
        <v>84</v>
      </c>
      <c r="AH174" t="n">
        <v>88</v>
      </c>
      <c r="AI174" t="n">
        <v>92</v>
      </c>
      <c r="AJ174" t="n">
        <v>96</v>
      </c>
      <c r="AK174" t="n">
        <v>99</v>
      </c>
      <c r="AL174" t="n">
        <v>103</v>
      </c>
      <c r="AM174" t="n">
        <v>106</v>
      </c>
      <c r="AN174" t="n">
        <v>110</v>
      </c>
      <c r="AO174" t="n">
        <v>113</v>
      </c>
      <c r="AP174" t="n">
        <v>116</v>
      </c>
      <c r="AQ174" t="n">
        <v>119</v>
      </c>
      <c r="AR174" t="n">
        <v>122</v>
      </c>
      <c r="AS174" t="n">
        <v>125</v>
      </c>
      <c r="AT174" t="n">
        <v>127</v>
      </c>
      <c r="AU174" t="n">
        <v>130</v>
      </c>
      <c r="AV174" t="n">
        <v>132</v>
      </c>
      <c r="AW174" t="n">
        <v>135</v>
      </c>
      <c r="AX174" t="n">
        <v>137</v>
      </c>
      <c r="AY174" t="n">
        <v>140</v>
      </c>
      <c r="AZ174" t="n">
        <v>142</v>
      </c>
      <c r="BA174" t="n">
        <v>144</v>
      </c>
      <c r="BB174" t="n">
        <v>146</v>
      </c>
      <c r="BC174" t="n">
        <v>149</v>
      </c>
      <c r="BD174" t="n">
        <v>151</v>
      </c>
      <c r="BE174" t="n">
        <v>153</v>
      </c>
      <c r="BF174" t="n">
        <v>154</v>
      </c>
      <c r="BG174" t="n">
        <v>156</v>
      </c>
      <c r="BH174" t="n">
        <v>158</v>
      </c>
      <c r="BI174" t="n">
        <v>160</v>
      </c>
    </row>
    <row r="175" hidden="1" outlineLevel="2">
      <c r="A175" s="591" t="inlineStr">
        <is>
          <t>Referidos (voz a voz)</t>
        </is>
      </c>
      <c r="B175">
        <f t="array" ref="B175:BI175">_xlfn.ANCHORARRAY(B173)*$BP$167*$BR$167</f>
        <v/>
      </c>
      <c r="C175" t="n">
        <v>74.58749999999999</v>
      </c>
      <c r="D175" t="n">
        <v>149.175</v>
      </c>
      <c r="E175" t="n">
        <v>232.05</v>
      </c>
      <c r="F175" t="n">
        <v>331.5</v>
      </c>
      <c r="G175" t="n">
        <v>464.1</v>
      </c>
      <c r="H175" t="n">
        <v>671.2875</v>
      </c>
      <c r="I175" t="n">
        <v>977.925</v>
      </c>
      <c r="J175" t="n">
        <v>1384.0125</v>
      </c>
      <c r="K175" t="n">
        <v>1848.1125</v>
      </c>
      <c r="L175" t="n">
        <v>2361.9375</v>
      </c>
      <c r="M175" t="n">
        <v>2925.4875</v>
      </c>
      <c r="N175" t="n">
        <v>3588.4875</v>
      </c>
      <c r="O175" t="n">
        <v>4367.5125</v>
      </c>
      <c r="P175" t="n">
        <v>5237.7</v>
      </c>
      <c r="Q175" t="n">
        <v>6149.325</v>
      </c>
      <c r="R175" t="n">
        <v>7102.3875</v>
      </c>
      <c r="S175" t="n">
        <v>8088.599999999999</v>
      </c>
      <c r="T175" t="n">
        <v>9116.25</v>
      </c>
      <c r="U175" t="n">
        <v>10177.05</v>
      </c>
      <c r="V175" t="n">
        <v>11271</v>
      </c>
      <c r="W175" t="n">
        <v>12414.675</v>
      </c>
      <c r="X175" t="n">
        <v>13591.5</v>
      </c>
      <c r="Y175" t="n">
        <v>14784.9</v>
      </c>
      <c r="Z175" t="n">
        <v>16011.45</v>
      </c>
      <c r="AA175" t="n">
        <v>17262.8625</v>
      </c>
      <c r="AB175" t="n">
        <v>18539.1375</v>
      </c>
      <c r="AC175" t="n">
        <v>19773.975</v>
      </c>
      <c r="AD175" t="n">
        <v>20967.375</v>
      </c>
      <c r="AE175" t="n">
        <v>22127.625</v>
      </c>
      <c r="AF175" t="n">
        <v>23254.725</v>
      </c>
      <c r="AG175" t="n">
        <v>24348.675</v>
      </c>
      <c r="AH175" t="n">
        <v>25409.475</v>
      </c>
      <c r="AI175" t="n">
        <v>26437.125</v>
      </c>
      <c r="AJ175" t="n">
        <v>27431.625</v>
      </c>
      <c r="AK175" t="n">
        <v>28401.2625</v>
      </c>
      <c r="AL175" t="n">
        <v>29337.75</v>
      </c>
      <c r="AM175" t="n">
        <v>30249.375</v>
      </c>
      <c r="AN175" t="n">
        <v>31127.85</v>
      </c>
      <c r="AO175" t="n">
        <v>31981.4625</v>
      </c>
      <c r="AP175" t="n">
        <v>32810.2125</v>
      </c>
      <c r="AQ175" t="n">
        <v>33614.1</v>
      </c>
      <c r="AR175" t="n">
        <v>34393.125</v>
      </c>
      <c r="AS175" t="n">
        <v>35147.2875</v>
      </c>
      <c r="AT175" t="n">
        <v>35884.875</v>
      </c>
      <c r="AU175" t="n">
        <v>36597.6</v>
      </c>
      <c r="AV175" t="n">
        <v>37293.75</v>
      </c>
      <c r="AW175" t="n">
        <v>37965.0375</v>
      </c>
      <c r="AX175" t="n">
        <v>38619.75</v>
      </c>
      <c r="AY175" t="n">
        <v>39249.6</v>
      </c>
      <c r="AZ175" t="n">
        <v>39862.875</v>
      </c>
      <c r="BA175" t="n">
        <v>40459.575</v>
      </c>
      <c r="BB175" t="n">
        <v>41039.7</v>
      </c>
      <c r="BC175" t="n">
        <v>41594.9625</v>
      </c>
      <c r="BD175" t="n">
        <v>42133.65</v>
      </c>
      <c r="BE175" t="n">
        <v>42655.7625</v>
      </c>
      <c r="BF175" t="n">
        <v>43169.5875</v>
      </c>
      <c r="BG175" t="n">
        <v>43666.8375</v>
      </c>
      <c r="BH175" t="n">
        <v>44147.5125</v>
      </c>
      <c r="BI175" t="n">
        <v>44611.6125</v>
      </c>
    </row>
    <row r="176" hidden="1" outlineLevel="2">
      <c r="A176" s="574" t="inlineStr">
        <is>
          <t>Rest. activos (fin de año)</t>
        </is>
      </c>
      <c r="B176">
        <f t="array" ref="B176:BI176">_xlfn.HSTACK($BU$167,_xlfn.SCAN($BU$167,_xlfn.SEQUENCE(1,59),_xlfn.LAMBDA(_xlpm.prev,_xlpm._,_xlpm.prev*(1+$DD$167))))</f>
        <v/>
      </c>
      <c r="C176" t="n">
        <v>2.02</v>
      </c>
      <c r="D176" t="n">
        <v>2.0402</v>
      </c>
      <c r="E176" t="n">
        <v>2.060602</v>
      </c>
      <c r="F176" t="n">
        <v>2.08120802</v>
      </c>
      <c r="G176" t="n">
        <v>2.1020201002</v>
      </c>
      <c r="H176" t="n">
        <v>2.123040301202</v>
      </c>
      <c r="I176" t="n">
        <v>2.14427070421402</v>
      </c>
      <c r="J176" t="n">
        <v>2.16571341125616</v>
      </c>
      <c r="K176" t="n">
        <v>2.187370545368722</v>
      </c>
      <c r="L176" t="n">
        <v>2.209244250822409</v>
      </c>
      <c r="M176" t="n">
        <v>2.231336693330633</v>
      </c>
      <c r="N176" t="n">
        <v>2.25365006026394</v>
      </c>
      <c r="O176" t="n">
        <v>2.276186560866579</v>
      </c>
      <c r="P176" t="n">
        <v>2.298948426475245</v>
      </c>
      <c r="Q176" t="n">
        <v>2.321937910739997</v>
      </c>
      <c r="R176" t="n">
        <v>2.345157289847397</v>
      </c>
      <c r="S176" t="n">
        <v>2.368608862745871</v>
      </c>
      <c r="T176" t="n">
        <v>2.39229495137333</v>
      </c>
      <c r="U176" t="n">
        <v>2.416217900887063</v>
      </c>
      <c r="V176" t="n">
        <v>2.440380079895934</v>
      </c>
      <c r="W176" t="n">
        <v>2.464783880694894</v>
      </c>
      <c r="X176" t="n">
        <v>2.489431719501843</v>
      </c>
      <c r="Y176" t="n">
        <v>2.514326036696861</v>
      </c>
      <c r="Z176" t="n">
        <v>2.53946929706383</v>
      </c>
      <c r="AA176" t="n">
        <v>2.564863990034468</v>
      </c>
      <c r="AB176" t="n">
        <v>2.590512629934813</v>
      </c>
      <c r="AC176" t="n">
        <v>2.616417756234161</v>
      </c>
      <c r="AD176" t="n">
        <v>2.642581933796503</v>
      </c>
      <c r="AE176" t="n">
        <v>2.669007753134468</v>
      </c>
      <c r="AF176" t="n">
        <v>2.695697830665813</v>
      </c>
      <c r="AG176" t="n">
        <v>2.722654808972471</v>
      </c>
      <c r="AH176" t="n">
        <v>2.749881357062196</v>
      </c>
      <c r="AI176" t="n">
        <v>2.777380170632818</v>
      </c>
      <c r="AJ176" t="n">
        <v>2.805153972339146</v>
      </c>
      <c r="AK176" t="n">
        <v>2.833205512062537</v>
      </c>
      <c r="AL176" t="n">
        <v>2.861537567183162</v>
      </c>
      <c r="AM176" t="n">
        <v>2.890152942854994</v>
      </c>
      <c r="AN176" t="n">
        <v>2.919054472283544</v>
      </c>
      <c r="AO176" t="n">
        <v>2.94824501700638</v>
      </c>
      <c r="AP176" t="n">
        <v>2.977727467176444</v>
      </c>
      <c r="AQ176" t="n">
        <v>3.007504741848208</v>
      </c>
      <c r="AR176" t="n">
        <v>3.03757978926669</v>
      </c>
      <c r="AS176" t="n">
        <v>3.067955587159357</v>
      </c>
      <c r="AT176" t="n">
        <v>3.098635143030951</v>
      </c>
      <c r="AU176" t="n">
        <v>3.129621494461261</v>
      </c>
      <c r="AV176" t="n">
        <v>3.160917709405873</v>
      </c>
      <c r="AW176" t="n">
        <v>3.192526886499932</v>
      </c>
      <c r="AX176" t="n">
        <v>3.224452155364931</v>
      </c>
      <c r="AY176" t="n">
        <v>3.256696676918581</v>
      </c>
      <c r="AZ176" t="n">
        <v>3.289263643687767</v>
      </c>
      <c r="BA176" t="n">
        <v>3.322156280124644</v>
      </c>
      <c r="BB176" t="n">
        <v>3.355377842925891</v>
      </c>
      <c r="BC176" t="n">
        <v>3.38893162135515</v>
      </c>
      <c r="BD176" t="n">
        <v>3.422820937568702</v>
      </c>
      <c r="BE176" t="n">
        <v>3.457049146944389</v>
      </c>
      <c r="BF176" t="n">
        <v>3.491619638413832</v>
      </c>
      <c r="BG176" t="n">
        <v>3.526535834797971</v>
      </c>
      <c r="BH176" t="n">
        <v>3.56180119314595</v>
      </c>
      <c r="BI176" t="n">
        <v>3.59741920507741</v>
      </c>
    </row>
    <row r="177" hidden="1" outlineLevel="2">
      <c r="A177" t="inlineStr">
        <is>
          <t>One-Off Revenue</t>
        </is>
      </c>
      <c r="B177">
        <f t="array" ref="B177:BI177">_xlfn.LET(_xlpm.x,_xlfn.ANCHORARRAY(B176)-1,_xlfn.ANCHORARRAY(B172)*$DB$167+_xlfn.ANCHORARRAY(B172)*IF(_xlpm.x&gt;0,_xlpm.x,0)*$DC$167)</f>
        <v/>
      </c>
      <c r="C177" t="n">
        <v>4836</v>
      </c>
      <c r="D177" t="n">
        <v>7308.54</v>
      </c>
      <c r="E177" t="n">
        <v>8999.9866</v>
      </c>
      <c r="F177" t="n">
        <v>10716.711278</v>
      </c>
      <c r="G177" t="n">
        <v>14120.30251102</v>
      </c>
      <c r="H177" t="n">
        <v>22596.6264397362</v>
      </c>
      <c r="I177" t="n">
        <v>32887.96723930403</v>
      </c>
      <c r="J177" t="n">
        <v>45034.84323897294</v>
      </c>
      <c r="K177" t="n">
        <v>52228.88098024761</v>
      </c>
      <c r="L177" t="n">
        <v>59531.35599202386</v>
      </c>
      <c r="M177" t="n">
        <v>66943.87761593763</v>
      </c>
      <c r="N177" t="n">
        <v>79724.64664520555</v>
      </c>
      <c r="O177" t="n">
        <v>94465.58860381719</v>
      </c>
      <c r="P177" t="n">
        <v>107651.8278810514</v>
      </c>
      <c r="Q177" t="n">
        <v>115658.9971456379</v>
      </c>
      <c r="R177" t="n">
        <v>123785.964612728</v>
      </c>
      <c r="S177" t="n">
        <v>132034.4855294454</v>
      </c>
      <c r="T177" t="n">
        <v>140406.3382680358</v>
      </c>
      <c r="U177" t="n">
        <v>148903.3246128451</v>
      </c>
      <c r="V177" t="n">
        <v>157527.2700507239</v>
      </c>
      <c r="W177" t="n">
        <v>168158.8943933158</v>
      </c>
      <c r="X177" t="n">
        <v>177057.1194640534</v>
      </c>
      <c r="Y177" t="n">
        <v>184179.4775247482</v>
      </c>
      <c r="Z177" t="n">
        <v>194291.8394020681</v>
      </c>
      <c r="AA177" t="n">
        <v>202616.9721751612</v>
      </c>
      <c r="AB177" t="n">
        <v>211065.2184197759</v>
      </c>
      <c r="AC177" t="n">
        <v>212743.8706039736</v>
      </c>
      <c r="AD177" t="n">
        <v>214439.3093100134</v>
      </c>
      <c r="AE177" t="n">
        <v>216151.7024031135</v>
      </c>
      <c r="AF177" t="n">
        <v>217881.2194271446</v>
      </c>
      <c r="AG177" t="n">
        <v>219628.0316214161</v>
      </c>
      <c r="AH177" t="n">
        <v>221392.3119376303</v>
      </c>
      <c r="AI177" t="n">
        <v>223174.2350570066</v>
      </c>
      <c r="AJ177" t="n">
        <v>224973.9774075767</v>
      </c>
      <c r="AK177" t="n">
        <v>226791.7171816524</v>
      </c>
      <c r="AL177" t="n">
        <v>228627.6343534689</v>
      </c>
      <c r="AM177" t="n">
        <v>230481.9106970036</v>
      </c>
      <c r="AN177" t="n">
        <v>232354.7298039737</v>
      </c>
      <c r="AO177" t="n">
        <v>234246.2771020134</v>
      </c>
      <c r="AP177" t="n">
        <v>236156.7398730335</v>
      </c>
      <c r="AQ177" t="n">
        <v>238086.3072717639</v>
      </c>
      <c r="AR177" t="n">
        <v>240035.1703444815</v>
      </c>
      <c r="AS177" t="n">
        <v>242003.5220479263</v>
      </c>
      <c r="AT177" t="n">
        <v>243991.5572684056</v>
      </c>
      <c r="AU177" t="n">
        <v>245999.4728410897</v>
      </c>
      <c r="AV177" t="n">
        <v>248027.4675695006</v>
      </c>
      <c r="AW177" t="n">
        <v>250075.7422451956</v>
      </c>
      <c r="AX177" t="n">
        <v>252144.4996676476</v>
      </c>
      <c r="AY177" t="n">
        <v>254233.9446643241</v>
      </c>
      <c r="AZ177" t="n">
        <v>256344.2841109673</v>
      </c>
      <c r="BA177" t="n">
        <v>258475.7269520769</v>
      </c>
      <c r="BB177" t="n">
        <v>260628.4842215978</v>
      </c>
      <c r="BC177" t="n">
        <v>262802.7690638137</v>
      </c>
      <c r="BD177" t="n">
        <v>264998.7967544518</v>
      </c>
      <c r="BE177" t="n">
        <v>267216.7847219964</v>
      </c>
      <c r="BF177" t="n">
        <v>269456.9525692164</v>
      </c>
      <c r="BG177" t="n">
        <v>271719.5220949085</v>
      </c>
      <c r="BH177" t="n">
        <v>274004.7173158576</v>
      </c>
      <c r="BI177" t="n">
        <v>276312.7644890161</v>
      </c>
    </row>
    <row r="178" hidden="1" outlineLevel="2">
      <c r="A178" t="inlineStr">
        <is>
          <t>SaaS Rest</t>
        </is>
      </c>
      <c r="B178">
        <f t="array" ref="B178:BI178">_xlfn.ANCHORARRAY(B175)*$BS$167</f>
        <v/>
      </c>
      <c r="C178" t="n">
        <v>1242.62775</v>
      </c>
      <c r="D178" t="n">
        <v>2485.2555</v>
      </c>
      <c r="E178" t="n">
        <v>3865.953</v>
      </c>
      <c r="F178" t="n">
        <v>5522.79</v>
      </c>
      <c r="G178" t="n">
        <v>7731.906</v>
      </c>
      <c r="H178" t="n">
        <v>11183.64975</v>
      </c>
      <c r="I178" t="n">
        <v>16292.2305</v>
      </c>
      <c r="J178" t="n">
        <v>23057.64825</v>
      </c>
      <c r="K178" t="n">
        <v>30789.55425</v>
      </c>
      <c r="L178" t="n">
        <v>39349.87875</v>
      </c>
      <c r="M178" t="n">
        <v>48738.62175</v>
      </c>
      <c r="N178" t="n">
        <v>59784.20174999999</v>
      </c>
      <c r="O178" t="n">
        <v>72762.75825</v>
      </c>
      <c r="P178" t="n">
        <v>87260.08199999999</v>
      </c>
      <c r="Q178" t="n">
        <v>102447.7545</v>
      </c>
      <c r="R178" t="n">
        <v>118325.77575</v>
      </c>
      <c r="S178" t="n">
        <v>134756.076</v>
      </c>
      <c r="T178" t="n">
        <v>151876.725</v>
      </c>
      <c r="U178" t="n">
        <v>169549.653</v>
      </c>
      <c r="V178" t="n">
        <v>187774.86</v>
      </c>
      <c r="W178" t="n">
        <v>206828.4855</v>
      </c>
      <c r="X178" t="n">
        <v>226434.39</v>
      </c>
      <c r="Y178" t="n">
        <v>246316.434</v>
      </c>
      <c r="Z178" t="n">
        <v>266750.757</v>
      </c>
      <c r="AA178" t="n">
        <v>287599.28925</v>
      </c>
      <c r="AB178" t="n">
        <v>308862.03075</v>
      </c>
      <c r="AC178" t="n">
        <v>329434.4235</v>
      </c>
      <c r="AD178" t="n">
        <v>349316.4675</v>
      </c>
      <c r="AE178" t="n">
        <v>368646.2325</v>
      </c>
      <c r="AF178" t="n">
        <v>387423.7185</v>
      </c>
      <c r="AG178" t="n">
        <v>405648.9255</v>
      </c>
      <c r="AH178" t="n">
        <v>423321.8535</v>
      </c>
      <c r="AI178" t="n">
        <v>440442.5025</v>
      </c>
      <c r="AJ178" t="n">
        <v>457010.8725</v>
      </c>
      <c r="AK178" t="n">
        <v>473165.03325</v>
      </c>
      <c r="AL178" t="n">
        <v>488766.915</v>
      </c>
      <c r="AM178" t="n">
        <v>503954.5875</v>
      </c>
      <c r="AN178" t="n">
        <v>518589.981</v>
      </c>
      <c r="AO178" t="n">
        <v>532811.16525</v>
      </c>
      <c r="AP178" t="n">
        <v>546618.1402500001</v>
      </c>
      <c r="AQ178" t="n">
        <v>560010.906</v>
      </c>
      <c r="AR178" t="n">
        <v>572989.4625</v>
      </c>
      <c r="AS178" t="n">
        <v>585553.80975</v>
      </c>
      <c r="AT178" t="n">
        <v>597842.0175</v>
      </c>
      <c r="AU178" t="n">
        <v>609716.0159999999</v>
      </c>
      <c r="AV178" t="n">
        <v>621313.875</v>
      </c>
      <c r="AW178" t="n">
        <v>632497.52475</v>
      </c>
      <c r="AX178" t="n">
        <v>643405.035</v>
      </c>
      <c r="AY178" t="n">
        <v>653898.336</v>
      </c>
      <c r="AZ178" t="n">
        <v>664115.4975000001</v>
      </c>
      <c r="BA178" t="n">
        <v>674056.5194999999</v>
      </c>
      <c r="BB178" t="n">
        <v>683721.402</v>
      </c>
      <c r="BC178" t="n">
        <v>692972.07525</v>
      </c>
      <c r="BD178" t="n">
        <v>701946.6090000001</v>
      </c>
      <c r="BE178" t="n">
        <v>710645.00325</v>
      </c>
      <c r="BF178" t="n">
        <v>719205.3277500001</v>
      </c>
      <c r="BG178" t="n">
        <v>727489.51275</v>
      </c>
      <c r="BH178" t="n">
        <v>735497.55825</v>
      </c>
      <c r="BI178" t="n">
        <v>743229.46425</v>
      </c>
    </row>
    <row r="179" hidden="1" outlineLevel="2" ht="18" customHeight="1">
      <c r="A179" s="519" t="inlineStr">
        <is>
          <t>9. ANÁLISIS POR ESCENARIO</t>
        </is>
      </c>
      <c r="B179">
        <f t="array" ref="B179:BI179">_xlfn.ANCHORARRAY(B175)*_xlfn.ANCHORARRAY(B176)*$BT$167</f>
        <v/>
      </c>
      <c r="C179" t="n">
        <v>1506.6675</v>
      </c>
      <c r="D179" t="n">
        <v>3043.468349999999</v>
      </c>
      <c r="E179" t="n">
        <v>4781.626940999999</v>
      </c>
      <c r="F179" t="n">
        <v>6899.2045863</v>
      </c>
      <c r="G179" t="n">
        <v>9755.475285028198</v>
      </c>
      <c r="H179" t="n">
        <v>14251.70416193137</v>
      </c>
      <c r="I179" t="n">
        <v>20969.35928418495</v>
      </c>
      <c r="J179" t="n">
        <v>29973.74432596166</v>
      </c>
      <c r="K179" t="n">
        <v>40425.06847027752</v>
      </c>
      <c r="L179" t="n">
        <v>52180.96842676854</v>
      </c>
      <c r="M179" t="n">
        <v>65277.476046301</v>
      </c>
      <c r="N179" t="n">
        <v>80871.95070631393</v>
      </c>
      <c r="O179" t="n">
        <v>99412.73256916794</v>
      </c>
      <c r="P179" t="n">
        <v>120412.0217334939</v>
      </c>
      <c r="Q179" t="n">
        <v>142783.5084296123</v>
      </c>
      <c r="R179" t="n">
        <v>166562.1582094603</v>
      </c>
      <c r="S179" t="n">
        <v>191587.2964720625</v>
      </c>
      <c r="T179" t="n">
        <v>218087.5885045712</v>
      </c>
      <c r="U179" t="n">
        <v>245899.7038822269</v>
      </c>
      <c r="V179" t="n">
        <v>275055.2388050708</v>
      </c>
      <c r="W179" t="n">
        <v>305994.9082406588</v>
      </c>
      <c r="X179" t="n">
        <v>338351.1121560929</v>
      </c>
      <c r="Y179" t="n">
        <v>371740.5901995942</v>
      </c>
      <c r="Z179" t="n">
        <v>406605.8567647266</v>
      </c>
      <c r="AA179" t="n">
        <v>442768.9439116639</v>
      </c>
      <c r="AB179" t="n">
        <v>480258.698418481</v>
      </c>
      <c r="AC179" t="n">
        <v>517369.7930133039</v>
      </c>
      <c r="AD179" t="n">
        <v>554080.0637413644</v>
      </c>
      <c r="AE179" t="n">
        <v>590588.0268345207</v>
      </c>
      <c r="AF179" t="n">
        <v>626877.1173523003</v>
      </c>
      <c r="AG179" t="n">
        <v>662930.3708085777</v>
      </c>
      <c r="AH179" t="n">
        <v>698730.4159523792</v>
      </c>
      <c r="AI179" t="n">
        <v>734259.4674354114</v>
      </c>
      <c r="AJ179" t="n">
        <v>769499.3183646782</v>
      </c>
      <c r="AK179" t="n">
        <v>804666.1346453504</v>
      </c>
      <c r="AL179" t="n">
        <v>839510.7376162782</v>
      </c>
      <c r="AM179" t="n">
        <v>874253.2017577429</v>
      </c>
      <c r="AN179" t="n">
        <v>908638.8975507132</v>
      </c>
      <c r="AO179" t="n">
        <v>942891.8745220139</v>
      </c>
      <c r="AP179" t="n">
        <v>976998.7096514589</v>
      </c>
      <c r="AQ179" t="n">
        <v>1010945.651429598</v>
      </c>
      <c r="AR179" t="n">
        <v>1044718.613897229</v>
      </c>
      <c r="AS179" t="n">
        <v>1078303.170591212</v>
      </c>
      <c r="AT179" t="n">
        <v>1111941.347782728</v>
      </c>
      <c r="AU179" t="n">
        <v>1145366.356056954</v>
      </c>
      <c r="AV179" t="n">
        <v>1178824.748251553</v>
      </c>
      <c r="AW179" t="n">
        <v>1212044.029657282</v>
      </c>
      <c r="AX179" t="n">
        <v>1245275.361271548</v>
      </c>
      <c r="AY179" t="n">
        <v>1278240.418903835</v>
      </c>
      <c r="AZ179" t="n">
        <v>1311195.0547037</v>
      </c>
      <c r="BA179" t="n">
        <v>1344130.31177424</v>
      </c>
      <c r="BB179" t="n">
        <v>1377037.000603257</v>
      </c>
      <c r="BC179" t="n">
        <v>1409624.837053317</v>
      </c>
      <c r="BD179" t="n">
        <v>1442159.393961915</v>
      </c>
      <c r="BE179" t="n">
        <v>1474630.673628874</v>
      </c>
      <c r="BF179" t="n">
        <v>1507317.794972243</v>
      </c>
      <c r="BG179" t="n">
        <v>1539926.672360498</v>
      </c>
      <c r="BH179" t="n">
        <v>1572446.626969257</v>
      </c>
      <c r="BI179" t="n">
        <v>1604866.715769714</v>
      </c>
    </row>
    <row r="180" hidden="1" outlineLevel="2">
      <c r="A180" t="inlineStr">
        <is>
          <t>SM Gross</t>
        </is>
      </c>
      <c r="B180">
        <f t="array" ref="B180:BI180">_xlfn.ANCHORARRAY(B175)*($BV$167+_xlfn.ANCHORARRAY(B176)*$BW$167)</f>
        <v/>
      </c>
      <c r="C180" t="n">
        <v>5623.8975</v>
      </c>
      <c r="D180" t="n">
        <v>11308.0617</v>
      </c>
      <c r="E180" t="n">
        <v>17685.003882</v>
      </c>
      <c r="F180" t="n">
        <v>25400.9091726</v>
      </c>
      <c r="G180" t="n">
        <v>35754.4505700564</v>
      </c>
      <c r="H180" t="n">
        <v>51998.47082386275</v>
      </c>
      <c r="I180" t="n">
        <v>76166.09356836991</v>
      </c>
      <c r="J180" t="n">
        <v>108387.9261519233</v>
      </c>
      <c r="K180" t="n">
        <v>145534.074440555</v>
      </c>
      <c r="L180" t="n">
        <v>187029.7493535371</v>
      </c>
      <c r="M180" t="n">
        <v>232947.014592602</v>
      </c>
      <c r="N180" t="n">
        <v>287340.9639126278</v>
      </c>
      <c r="O180" t="n">
        <v>351688.4026383358</v>
      </c>
      <c r="P180" t="n">
        <v>424143.5434669878</v>
      </c>
      <c r="Q180" t="n">
        <v>500793.3918592246</v>
      </c>
      <c r="R180" t="n">
        <v>581707.8789189205</v>
      </c>
      <c r="S180" t="n">
        <v>666275.5929441251</v>
      </c>
      <c r="T180" t="n">
        <v>755243.9270091424</v>
      </c>
      <c r="U180" t="n">
        <v>847996.1577644537</v>
      </c>
      <c r="V180" t="n">
        <v>944595.4776101414</v>
      </c>
      <c r="W180" t="n">
        <v>1046503.441481318</v>
      </c>
      <c r="X180" t="n">
        <v>1152404.724312186</v>
      </c>
      <c r="Y180" t="n">
        <v>1260952.680399188</v>
      </c>
      <c r="Z180" t="n">
        <v>1373612.463529453</v>
      </c>
      <c r="AA180" t="n">
        <v>1489738.075323328</v>
      </c>
      <c r="AB180" t="n">
        <v>1609387.209336962</v>
      </c>
      <c r="AC180" t="n">
        <v>1726828.711026608</v>
      </c>
      <c r="AD180" t="n">
        <v>1842018.252482729</v>
      </c>
      <c r="AE180" t="n">
        <v>1955642.928669041</v>
      </c>
      <c r="AF180" t="n">
        <v>2067669.609704601</v>
      </c>
      <c r="AG180" t="n">
        <v>2178064.366617155</v>
      </c>
      <c r="AH180" t="n">
        <v>2286792.456904759</v>
      </c>
      <c r="AI180" t="n">
        <v>2393818.309870822</v>
      </c>
      <c r="AJ180" t="n">
        <v>2499105.511729356</v>
      </c>
      <c r="AK180" t="n">
        <v>2603376.456790701</v>
      </c>
      <c r="AL180" t="n">
        <v>2705842.725232557</v>
      </c>
      <c r="AM180" t="n">
        <v>2807234.528515486</v>
      </c>
      <c r="AN180" t="n">
        <v>2906752.545101426</v>
      </c>
      <c r="AO180" t="n">
        <v>3005134.936544028</v>
      </c>
      <c r="AP180" t="n">
        <v>3102354.856802918</v>
      </c>
      <c r="AQ180" t="n">
        <v>3198384.802859197</v>
      </c>
      <c r="AR180" t="n">
        <v>3293196.602794459</v>
      </c>
      <c r="AS180" t="n">
        <v>3386761.403682425</v>
      </c>
      <c r="AT180" t="n">
        <v>3479853.320565456</v>
      </c>
      <c r="AU180" t="n">
        <v>3571648.712113908</v>
      </c>
      <c r="AV180" t="n">
        <v>3662930.746503105</v>
      </c>
      <c r="AW180" t="n">
        <v>3752864.371814563</v>
      </c>
      <c r="AX180" t="n">
        <v>3842241.972543096</v>
      </c>
      <c r="AY180" t="n">
        <v>3930216.837807671</v>
      </c>
      <c r="AZ180" t="n">
        <v>4017590.7344074</v>
      </c>
      <c r="BA180" t="n">
        <v>4104345.748548481</v>
      </c>
      <c r="BB180" t="n">
        <v>4190463.501206513</v>
      </c>
      <c r="BC180" t="n">
        <v>4275073.361606633</v>
      </c>
      <c r="BD180" t="n">
        <v>4358996.537923831</v>
      </c>
      <c r="BE180" t="n">
        <v>4442213.034757748</v>
      </c>
      <c r="BF180" t="n">
        <v>4525571.152444487</v>
      </c>
      <c r="BG180" t="n">
        <v>4608192.657220997</v>
      </c>
      <c r="BH180" t="n">
        <v>4690056.191438515</v>
      </c>
      <c r="BI180" t="n">
        <v>4771139.869039428</v>
      </c>
    </row>
    <row r="181" hidden="1" outlineLevel="2">
      <c r="A181" s="308" t="inlineStr">
        <is>
          <t>🔴 Escenario PESIMISTA — "Solo con ACODRES"</t>
        </is>
      </c>
      <c r="B181">
        <f t="array" ref="B181:BI181">_xlfn.ANCHORARRAY(B177)+_xlfn.ANCHORARRAY(B178)+_xlfn.ANCHORARRAY(B179)+_xlfn.ANCHORARRAY(B180)+_xlfn.ANCHORARRAY(B173)*Escenarios!$E$31*'Supuestos Generales'!$B$60</f>
        <v/>
      </c>
      <c r="C181" t="n">
        <v>13254.19275</v>
      </c>
      <c r="D181" t="n">
        <v>24235.32555</v>
      </c>
      <c r="E181" t="n">
        <v>35472.570423</v>
      </c>
      <c r="F181" t="n">
        <v>48739.6150369</v>
      </c>
      <c r="G181" t="n">
        <v>67642.1343661046</v>
      </c>
      <c r="H181" t="n">
        <v>100435.4511755303</v>
      </c>
      <c r="I181" t="n">
        <v>146905.6505918589</v>
      </c>
      <c r="J181" t="n">
        <v>207289.1619668579</v>
      </c>
      <c r="K181" t="n">
        <v>270092.5781410802</v>
      </c>
      <c r="L181" t="n">
        <v>339516.9525223295</v>
      </c>
      <c r="M181" t="n">
        <v>415671.9900048406</v>
      </c>
      <c r="N181" t="n">
        <v>509886.7630141473</v>
      </c>
      <c r="O181" t="n">
        <v>620964.4820613209</v>
      </c>
      <c r="P181" t="n">
        <v>742627.4750815331</v>
      </c>
      <c r="Q181" t="n">
        <v>865393.6519344749</v>
      </c>
      <c r="R181" t="n">
        <v>994666.7774911089</v>
      </c>
      <c r="S181" t="n">
        <v>1129533.450945633</v>
      </c>
      <c r="T181" t="n">
        <v>1271114.57878175</v>
      </c>
      <c r="U181" t="n">
        <v>1418488.839259526</v>
      </c>
      <c r="V181" t="n">
        <v>1571752.846465936</v>
      </c>
      <c r="W181" t="n">
        <v>1734975.729615292</v>
      </c>
      <c r="X181" t="n">
        <v>1902447.345932332</v>
      </c>
      <c r="Y181" t="n">
        <v>2072109.182123531</v>
      </c>
      <c r="Z181" t="n">
        <v>2250920.916696248</v>
      </c>
      <c r="AA181" t="n">
        <v>2433138.280660152</v>
      </c>
      <c r="AB181" t="n">
        <v>2620758.156925219</v>
      </c>
      <c r="AC181" t="n">
        <v>2798306.798143885</v>
      </c>
      <c r="AD181" t="n">
        <v>2972504.093034106</v>
      </c>
      <c r="AE181" t="n">
        <v>3144378.890406676</v>
      </c>
      <c r="AF181" t="n">
        <v>3313881.664984046</v>
      </c>
      <c r="AG181" t="n">
        <v>3480961.694547149</v>
      </c>
      <c r="AH181" t="n">
        <v>3645567.038294768</v>
      </c>
      <c r="AI181" t="n">
        <v>3807644.514863241</v>
      </c>
      <c r="AJ181" t="n">
        <v>3967139.680001611</v>
      </c>
      <c r="AK181" t="n">
        <v>4125134.341867703</v>
      </c>
      <c r="AL181" t="n">
        <v>4280448.012202304</v>
      </c>
      <c r="AM181" t="n">
        <v>4434174.228470232</v>
      </c>
      <c r="AN181" t="n">
        <v>4585116.153456112</v>
      </c>
      <c r="AO181" t="n">
        <v>4734379.253418054</v>
      </c>
      <c r="AP181" t="n">
        <v>4881923.44657741</v>
      </c>
      <c r="AQ181" t="n">
        <v>5027707.66756056</v>
      </c>
      <c r="AR181" t="n">
        <v>5171689.849536169</v>
      </c>
      <c r="AS181" t="n">
        <v>5313826.906071563</v>
      </c>
      <c r="AT181" t="n">
        <v>5455278.243116589</v>
      </c>
      <c r="AU181" t="n">
        <v>5594810.557011953</v>
      </c>
      <c r="AV181" t="n">
        <v>5733596.837324159</v>
      </c>
      <c r="AW181" t="n">
        <v>5870386.668467041</v>
      </c>
      <c r="AX181" t="n">
        <v>6006366.868482292</v>
      </c>
      <c r="AY181" t="n">
        <v>6140269.53737583</v>
      </c>
      <c r="AZ181" t="n">
        <v>6273295.570722067</v>
      </c>
      <c r="BA181" t="n">
        <v>6405418.306774798</v>
      </c>
      <c r="BB181" t="n">
        <v>6536610.388031368</v>
      </c>
      <c r="BC181" t="n">
        <v>6665568.042973764</v>
      </c>
      <c r="BD181" t="n">
        <v>6793521.337640198</v>
      </c>
      <c r="BE181" t="n">
        <v>6920440.496358619</v>
      </c>
      <c r="BF181" t="n">
        <v>7047596.227735946</v>
      </c>
      <c r="BG181" t="n">
        <v>7173673.364426404</v>
      </c>
      <c r="BH181" t="n">
        <v>7298640.093973629</v>
      </c>
      <c r="BI181" t="n">
        <v>7422463.813548159</v>
      </c>
    </row>
    <row r="182" hidden="1" outlineLevel="2">
      <c r="A182" s="520">
        <f>"• "&amp;DF140&amp;". Ramp-up: "&amp;TEXT(CM140,"0")&amp;" meses. Caja final: "&amp;TEXT(DM140,"$#,##0")&amp;". ARR Año 5: "&amp;TEXT(DN140,"$#,##0")&amp;". EBITDA 60m: "&amp;TEXT(DK140,"$#,##0")&amp;". Incluso en el peor caso, la inversión se preserva y el modelo es sostenible."</f>
        <v/>
      </c>
      <c r="B182">
        <f t="array" ref="B182:BI182">(_xlfn.ANCHORARRAY(B169)+_xlfn.ANCHORARRAY(B170))*$BP$167*$BR$167</f>
        <v/>
      </c>
      <c r="C182" t="n">
        <v>24.8625</v>
      </c>
      <c r="D182" t="n">
        <v>49.725</v>
      </c>
      <c r="E182" t="n">
        <v>49.725</v>
      </c>
      <c r="F182" t="n">
        <v>66.3</v>
      </c>
      <c r="G182" t="n">
        <v>82.875</v>
      </c>
      <c r="H182" t="n">
        <v>99.45</v>
      </c>
      <c r="I182" t="n">
        <v>182.325</v>
      </c>
      <c r="J182" t="n">
        <v>265.2</v>
      </c>
      <c r="K182" t="n">
        <v>314.925</v>
      </c>
      <c r="L182" t="n">
        <v>364.65</v>
      </c>
      <c r="M182" t="n">
        <v>397.8</v>
      </c>
      <c r="N182" t="n">
        <v>447.525</v>
      </c>
      <c r="O182" t="n">
        <v>546.975</v>
      </c>
      <c r="P182" t="n">
        <v>646.425</v>
      </c>
      <c r="Q182" t="n">
        <v>696.15</v>
      </c>
      <c r="R182" t="n">
        <v>729.3</v>
      </c>
      <c r="S182" t="n">
        <v>779.025</v>
      </c>
      <c r="T182" t="n">
        <v>828.75</v>
      </c>
      <c r="U182" t="n">
        <v>861.9</v>
      </c>
      <c r="V182" t="n">
        <v>911.625</v>
      </c>
      <c r="W182" t="n">
        <v>961.35</v>
      </c>
      <c r="X182" t="n">
        <v>1011.075</v>
      </c>
      <c r="Y182" t="n">
        <v>1060.8</v>
      </c>
      <c r="Z182" t="n">
        <v>1077.375</v>
      </c>
      <c r="AA182" t="n">
        <v>1135.3875</v>
      </c>
      <c r="AB182" t="n">
        <v>1193.4</v>
      </c>
      <c r="AC182" t="n">
        <v>1193.4</v>
      </c>
      <c r="AD182" t="n">
        <v>1193.4</v>
      </c>
      <c r="AE182" t="n">
        <v>1193.4</v>
      </c>
      <c r="AF182" t="n">
        <v>1193.4</v>
      </c>
      <c r="AG182" t="n">
        <v>1193.4</v>
      </c>
      <c r="AH182" t="n">
        <v>1193.4</v>
      </c>
      <c r="AI182" t="n">
        <v>1193.4</v>
      </c>
      <c r="AJ182" t="n">
        <v>1193.4</v>
      </c>
      <c r="AK182" t="n">
        <v>1193.4</v>
      </c>
      <c r="AL182" t="n">
        <v>1193.4</v>
      </c>
      <c r="AM182" t="n">
        <v>1193.4</v>
      </c>
      <c r="AN182" t="n">
        <v>1193.4</v>
      </c>
      <c r="AO182" t="n">
        <v>1193.4</v>
      </c>
      <c r="AP182" t="n">
        <v>1193.4</v>
      </c>
      <c r="AQ182" t="n">
        <v>1193.4</v>
      </c>
      <c r="AR182" t="n">
        <v>1193.4</v>
      </c>
      <c r="AS182" t="n">
        <v>1193.4</v>
      </c>
      <c r="AT182" t="n">
        <v>1193.4</v>
      </c>
      <c r="AU182" t="n">
        <v>1193.4</v>
      </c>
      <c r="AV182" t="n">
        <v>1193.4</v>
      </c>
      <c r="AW182" t="n">
        <v>1193.4</v>
      </c>
      <c r="AX182" t="n">
        <v>1193.4</v>
      </c>
      <c r="AY182" t="n">
        <v>1193.4</v>
      </c>
      <c r="AZ182" t="n">
        <v>1193.4</v>
      </c>
      <c r="BA182" t="n">
        <v>1193.4</v>
      </c>
      <c r="BB182" t="n">
        <v>1193.4</v>
      </c>
      <c r="BC182" t="n">
        <v>1193.4</v>
      </c>
      <c r="BD182" t="n">
        <v>1193.4</v>
      </c>
      <c r="BE182" t="n">
        <v>1193.4</v>
      </c>
      <c r="BF182" t="n">
        <v>1193.4</v>
      </c>
      <c r="BG182" t="n">
        <v>1193.4</v>
      </c>
      <c r="BH182" t="n">
        <v>1193.4</v>
      </c>
      <c r="BI182" t="n">
        <v>1193.4</v>
      </c>
    </row>
    <row r="183" hidden="1" outlineLevel="2">
      <c r="A183" t="inlineStr">
        <is>
          <t>Free Awarded</t>
        </is>
      </c>
      <c r="B183">
        <f t="array" ref="B183:BI183">FLOOR(_xlfn.ANCHORARRAY(B182)/$CR$167,1)</f>
        <v/>
      </c>
      <c r="C183" t="n">
        <v>4</v>
      </c>
      <c r="D183" t="n">
        <v>9</v>
      </c>
      <c r="E183" t="n">
        <v>9</v>
      </c>
      <c r="F183" t="n">
        <v>13</v>
      </c>
      <c r="G183" t="n">
        <v>16</v>
      </c>
      <c r="H183" t="n">
        <v>19</v>
      </c>
      <c r="I183" t="n">
        <v>36</v>
      </c>
      <c r="J183" t="n">
        <v>53</v>
      </c>
      <c r="K183" t="n">
        <v>62</v>
      </c>
      <c r="L183" t="n">
        <v>72</v>
      </c>
      <c r="M183" t="n">
        <v>79</v>
      </c>
      <c r="N183" t="n">
        <v>89</v>
      </c>
      <c r="O183" t="n">
        <v>109</v>
      </c>
      <c r="P183" t="n">
        <v>129</v>
      </c>
      <c r="Q183" t="n">
        <v>139</v>
      </c>
      <c r="R183" t="n">
        <v>145</v>
      </c>
      <c r="S183" t="n">
        <v>155</v>
      </c>
      <c r="T183" t="n">
        <v>165</v>
      </c>
      <c r="U183" t="n">
        <v>172</v>
      </c>
      <c r="V183" t="n">
        <v>182</v>
      </c>
      <c r="W183" t="n">
        <v>192</v>
      </c>
      <c r="X183" t="n">
        <v>202</v>
      </c>
      <c r="Y183" t="n">
        <v>212</v>
      </c>
      <c r="Z183" t="n">
        <v>215</v>
      </c>
      <c r="AA183" t="n">
        <v>227</v>
      </c>
      <c r="AB183" t="n">
        <v>238</v>
      </c>
      <c r="AC183" t="n">
        <v>238</v>
      </c>
      <c r="AD183" t="n">
        <v>238</v>
      </c>
      <c r="AE183" t="n">
        <v>238</v>
      </c>
      <c r="AF183" t="n">
        <v>238</v>
      </c>
      <c r="AG183" t="n">
        <v>238</v>
      </c>
      <c r="AH183" t="n">
        <v>238</v>
      </c>
      <c r="AI183" t="n">
        <v>238</v>
      </c>
      <c r="AJ183" t="n">
        <v>238</v>
      </c>
      <c r="AK183" t="n">
        <v>238</v>
      </c>
      <c r="AL183" t="n">
        <v>238</v>
      </c>
      <c r="AM183" t="n">
        <v>238</v>
      </c>
      <c r="AN183" t="n">
        <v>238</v>
      </c>
      <c r="AO183" t="n">
        <v>238</v>
      </c>
      <c r="AP183" t="n">
        <v>238</v>
      </c>
      <c r="AQ183" t="n">
        <v>238</v>
      </c>
      <c r="AR183" t="n">
        <v>238</v>
      </c>
      <c r="AS183" t="n">
        <v>238</v>
      </c>
      <c r="AT183" t="n">
        <v>238</v>
      </c>
      <c r="AU183" t="n">
        <v>238</v>
      </c>
      <c r="AV183" t="n">
        <v>238</v>
      </c>
      <c r="AW183" t="n">
        <v>238</v>
      </c>
      <c r="AX183" t="n">
        <v>238</v>
      </c>
      <c r="AY183" t="n">
        <v>238</v>
      </c>
      <c r="AZ183" t="n">
        <v>238</v>
      </c>
      <c r="BA183" t="n">
        <v>238</v>
      </c>
      <c r="BB183" t="n">
        <v>238</v>
      </c>
      <c r="BC183" t="n">
        <v>238</v>
      </c>
      <c r="BD183" t="n">
        <v>238</v>
      </c>
      <c r="BE183" t="n">
        <v>238</v>
      </c>
      <c r="BF183" t="n">
        <v>238</v>
      </c>
      <c r="BG183" t="n">
        <v>238</v>
      </c>
      <c r="BH183" t="n">
        <v>238</v>
      </c>
      <c r="BI183" t="n">
        <v>238</v>
      </c>
    </row>
    <row r="184" hidden="1" outlineLevel="2">
      <c r="A184" s="524" t="inlineStr">
        <is>
          <t>🟡 Escenario BASE — "CC + ACODRES"</t>
        </is>
      </c>
      <c r="B184">
        <f t="array" ref="B184:BI184">_xlfn.LET(_xlpm.cum,_xlfn.SCAN(0,_xlfn.ANCHORARRAY(B183),_xlfn.LAMBDA(_xlpm.a,_xlpm.v,_xlpm.a+_xlpm.v)),_xlfn.HSTACK(_xlfn.TAKE(_xlpm.cum,,12),_xlfn.DROP(_xlpm.cum,,12)-_xlfn.TAKE(_xlpm.cum,,48)))</f>
        <v/>
      </c>
      <c r="C184" t="n">
        <v>4</v>
      </c>
      <c r="D184" t="n">
        <v>13</v>
      </c>
      <c r="E184" t="n">
        <v>22</v>
      </c>
      <c r="F184" t="n">
        <v>35</v>
      </c>
      <c r="G184" t="n">
        <v>51</v>
      </c>
      <c r="H184" t="n">
        <v>70</v>
      </c>
      <c r="I184" t="n">
        <v>106</v>
      </c>
      <c r="J184" t="n">
        <v>159</v>
      </c>
      <c r="K184" t="n">
        <v>221</v>
      </c>
      <c r="L184" t="n">
        <v>293</v>
      </c>
      <c r="M184" t="n">
        <v>372</v>
      </c>
      <c r="N184" t="n">
        <v>461</v>
      </c>
      <c r="O184" t="n">
        <v>566</v>
      </c>
      <c r="P184" t="n">
        <v>686</v>
      </c>
      <c r="Q184" t="n">
        <v>816</v>
      </c>
      <c r="R184" t="n">
        <v>948</v>
      </c>
      <c r="S184" t="n">
        <v>1087</v>
      </c>
      <c r="T184" t="n">
        <v>1233</v>
      </c>
      <c r="U184" t="n">
        <v>1369</v>
      </c>
      <c r="V184" t="n">
        <v>1498</v>
      </c>
      <c r="W184" t="n">
        <v>1628</v>
      </c>
      <c r="X184" t="n">
        <v>1758</v>
      </c>
      <c r="Y184" t="n">
        <v>1891</v>
      </c>
      <c r="Z184" t="n">
        <v>2017</v>
      </c>
      <c r="AA184" t="n">
        <v>2135</v>
      </c>
      <c r="AB184" t="n">
        <v>2244</v>
      </c>
      <c r="AC184" t="n">
        <v>2343</v>
      </c>
      <c r="AD184" t="n">
        <v>2436</v>
      </c>
      <c r="AE184" t="n">
        <v>2519</v>
      </c>
      <c r="AF184" t="n">
        <v>2592</v>
      </c>
      <c r="AG184" t="n">
        <v>2658</v>
      </c>
      <c r="AH184" t="n">
        <v>2714</v>
      </c>
      <c r="AI184" t="n">
        <v>2760</v>
      </c>
      <c r="AJ184" t="n">
        <v>2796</v>
      </c>
      <c r="AK184" t="n">
        <v>2822</v>
      </c>
      <c r="AL184" t="n">
        <v>2845</v>
      </c>
      <c r="AM184" t="n">
        <v>2856</v>
      </c>
      <c r="AN184" t="n">
        <v>2856</v>
      </c>
      <c r="AO184" t="n">
        <v>2856</v>
      </c>
      <c r="AP184" t="n">
        <v>2856</v>
      </c>
      <c r="AQ184" t="n">
        <v>2856</v>
      </c>
      <c r="AR184" t="n">
        <v>2856</v>
      </c>
      <c r="AS184" t="n">
        <v>2856</v>
      </c>
      <c r="AT184" t="n">
        <v>2856</v>
      </c>
      <c r="AU184" t="n">
        <v>2856</v>
      </c>
      <c r="AV184" t="n">
        <v>2856</v>
      </c>
      <c r="AW184" t="n">
        <v>2856</v>
      </c>
      <c r="AX184" t="n">
        <v>2856</v>
      </c>
      <c r="AY184" t="n">
        <v>2856</v>
      </c>
      <c r="AZ184" t="n">
        <v>2856</v>
      </c>
      <c r="BA184" t="n">
        <v>2856</v>
      </c>
      <c r="BB184" t="n">
        <v>2856</v>
      </c>
      <c r="BC184" t="n">
        <v>2856</v>
      </c>
      <c r="BD184" t="n">
        <v>2856</v>
      </c>
      <c r="BE184" t="n">
        <v>2856</v>
      </c>
      <c r="BF184" t="n">
        <v>2856</v>
      </c>
      <c r="BG184" t="n">
        <v>2856</v>
      </c>
      <c r="BH184" t="n">
        <v>2856</v>
      </c>
      <c r="BI184" t="n">
        <v>2856</v>
      </c>
    </row>
    <row r="185" hidden="1" outlineLevel="2">
      <c r="A185" s="520">
        <f>"• "&amp;DF167&amp;". Ramp-up: "&amp;TEXT(CM167,"0")&amp;" meses. Caja final: "&amp;TEXT(DM167,"$#,##0")&amp;". ARR Año 5: "&amp;TEXT(DN167,"$#,##0")&amp;". EBITDA 60m: "&amp;TEXT(DK167,"$#,##0")&amp;". Retorno atractivo: con $500K de inversión se generan "&amp;TEXT(DM167/500000,"0.0\x")&amp;" de retorno."</f>
        <v/>
      </c>
      <c r="B185">
        <f t="array" ref="B185:BI185">_xlfn.ANCHORARRAY(B184)*$BS$167</f>
        <v/>
      </c>
      <c r="C185" t="n">
        <v>66.64</v>
      </c>
      <c r="D185" t="n">
        <v>216.58</v>
      </c>
      <c r="E185" t="n">
        <v>366.52</v>
      </c>
      <c r="F185" t="n">
        <v>583.1</v>
      </c>
      <c r="G185" t="n">
        <v>849.66</v>
      </c>
      <c r="H185" t="n">
        <v>1166.2</v>
      </c>
      <c r="I185" t="n">
        <v>1765.96</v>
      </c>
      <c r="J185" t="n">
        <v>2648.94</v>
      </c>
      <c r="K185" t="n">
        <v>3681.86</v>
      </c>
      <c r="L185" t="n">
        <v>4881.38</v>
      </c>
      <c r="M185" t="n">
        <v>6197.52</v>
      </c>
      <c r="N185" t="n">
        <v>7680.26</v>
      </c>
      <c r="O185" t="n">
        <v>9429.559999999999</v>
      </c>
      <c r="P185" t="n">
        <v>11428.76</v>
      </c>
      <c r="Q185" t="n">
        <v>13594.56</v>
      </c>
      <c r="R185" t="n">
        <v>15793.68</v>
      </c>
      <c r="S185" t="n">
        <v>18109.42</v>
      </c>
      <c r="T185" t="n">
        <v>20541.78</v>
      </c>
      <c r="U185" t="n">
        <v>22807.54</v>
      </c>
      <c r="V185" t="n">
        <v>24956.68</v>
      </c>
      <c r="W185" t="n">
        <v>27122.48</v>
      </c>
      <c r="X185" t="n">
        <v>29288.28</v>
      </c>
      <c r="Y185" t="n">
        <v>31504.06</v>
      </c>
      <c r="Z185" t="n">
        <v>33603.22</v>
      </c>
      <c r="AA185" t="n">
        <v>35569.1</v>
      </c>
      <c r="AB185" t="n">
        <v>37385.04</v>
      </c>
      <c r="AC185" t="n">
        <v>39034.38</v>
      </c>
      <c r="AD185" t="n">
        <v>40583.76</v>
      </c>
      <c r="AE185" t="n">
        <v>41966.54</v>
      </c>
      <c r="AF185" t="n">
        <v>43182.72</v>
      </c>
      <c r="AG185" t="n">
        <v>44282.28</v>
      </c>
      <c r="AH185" t="n">
        <v>45215.24</v>
      </c>
      <c r="AI185" t="n">
        <v>45981.6</v>
      </c>
      <c r="AJ185" t="n">
        <v>46581.36</v>
      </c>
      <c r="AK185" t="n">
        <v>47014.52</v>
      </c>
      <c r="AL185" t="n">
        <v>47397.7</v>
      </c>
      <c r="AM185" t="n">
        <v>47580.96</v>
      </c>
      <c r="AN185" t="n">
        <v>47580.96</v>
      </c>
      <c r="AO185" t="n">
        <v>47580.96</v>
      </c>
      <c r="AP185" t="n">
        <v>47580.96</v>
      </c>
      <c r="AQ185" t="n">
        <v>47580.96</v>
      </c>
      <c r="AR185" t="n">
        <v>47580.96</v>
      </c>
      <c r="AS185" t="n">
        <v>47580.96</v>
      </c>
      <c r="AT185" t="n">
        <v>47580.96</v>
      </c>
      <c r="AU185" t="n">
        <v>47580.96</v>
      </c>
      <c r="AV185" t="n">
        <v>47580.96</v>
      </c>
      <c r="AW185" t="n">
        <v>47580.96</v>
      </c>
      <c r="AX185" t="n">
        <v>47580.96</v>
      </c>
      <c r="AY185" t="n">
        <v>47580.96</v>
      </c>
      <c r="AZ185" t="n">
        <v>47580.96</v>
      </c>
      <c r="BA185" t="n">
        <v>47580.96</v>
      </c>
      <c r="BB185" t="n">
        <v>47580.96</v>
      </c>
      <c r="BC185" t="n">
        <v>47580.96</v>
      </c>
      <c r="BD185" t="n">
        <v>47580.96</v>
      </c>
      <c r="BE185" t="n">
        <v>47580.96</v>
      </c>
      <c r="BF185" t="n">
        <v>47580.96</v>
      </c>
      <c r="BG185" t="n">
        <v>47580.96</v>
      </c>
      <c r="BH185" t="n">
        <v>47580.96</v>
      </c>
      <c r="BI185" t="n">
        <v>47580.96</v>
      </c>
    </row>
    <row r="186" hidden="1" outlineLevel="2">
      <c r="A186" t="inlineStr">
        <is>
          <t>Direct Cost Total</t>
        </is>
      </c>
      <c r="B186">
        <f t="array" ref="B186:BI186">_xlfn.ANCHORARRAY(B175)*'Supuestos Generales'!$B$69+_xlfn.ANCHORARRAY(B180)*$BX$167*(1-$BZ$167)+_xlfn.ANCHORARRAY(B175)*'Supuestos Generales'!$B$71+_xlfn.ANCHORARRAY(B173)*$CC$167+_xlfn.ANCHORARRAY(B175)*'Supuestos Generales'!$B$77+CEILING(_xlfn.ANCHORARRAY(B173)/$CD$167,1)*'Supuestos Generales'!$B$81+CEILING(_xlfn.ANCHORARRAY(B173)/$CE$167,1)*'Supuestos Generales'!$B$74+$CY$167*(1.1^(CEILING(_xlfn.SEQUENCE(1,60)/12,1)-1))+'Supuestos Generales'!$B$86+_xlfn.ANCHORARRAY(B185)+_xlfn.ANCHORARRAY(B180)*$CV$167+$DA$167*(_xlfn.ANCHORARRAY(B178)+_xlfn.ANCHORARRAY(B179)+_xlfn.ANCHORARRAY(B173)*Escenarios!$E$31*'Supuestos Generales'!$B$60+_xlfn.ANCHORARRAY(B180)+_xlfn.ANCHORARRAY(B180)*$BX$167*$BY$167)</f>
        <v/>
      </c>
      <c r="C186" t="n">
        <v>9859.901542937499</v>
      </c>
      <c r="D186" t="n">
        <v>15235.5714999025</v>
      </c>
      <c r="E186" t="n">
        <v>21242.11604144265</v>
      </c>
      <c r="F186" t="n">
        <v>28538.80517159939</v>
      </c>
      <c r="G186" t="n">
        <v>38299.41234916654</v>
      </c>
      <c r="H186" t="n">
        <v>54505.07771149715</v>
      </c>
      <c r="I186" t="n">
        <v>78994.55525825724</v>
      </c>
      <c r="J186" t="n">
        <v>110375.0507661525</v>
      </c>
      <c r="K186" t="n">
        <v>148133.0633951686</v>
      </c>
      <c r="L186" t="n">
        <v>190001.2268006171</v>
      </c>
      <c r="M186" t="n">
        <v>234238.7126704725</v>
      </c>
      <c r="N186" t="n">
        <v>288264.0739210827</v>
      </c>
      <c r="O186" t="n">
        <v>352430.519478112</v>
      </c>
      <c r="P186" t="n">
        <v>424936.3456862903</v>
      </c>
      <c r="Q186" t="n">
        <v>500613.018217848</v>
      </c>
      <c r="R186" t="n">
        <v>580134.6582711228</v>
      </c>
      <c r="S186" t="n">
        <v>663020.4787383614</v>
      </c>
      <c r="T186" t="n">
        <v>750696.1836372793</v>
      </c>
      <c r="U186" t="n">
        <v>840810.1059270077</v>
      </c>
      <c r="V186" t="n">
        <v>935964.0955093444</v>
      </c>
      <c r="W186" t="n">
        <v>1035115.563408902</v>
      </c>
      <c r="X186" t="n">
        <v>1138543.74773355</v>
      </c>
      <c r="Y186" t="n">
        <v>1242568.817828663</v>
      </c>
      <c r="Z186" t="n">
        <v>1352034.628746563</v>
      </c>
      <c r="AA186" t="n">
        <v>1465215.30376977</v>
      </c>
      <c r="AB186" t="n">
        <v>1578574.909211512</v>
      </c>
      <c r="AC186" t="n">
        <v>1691394.709363415</v>
      </c>
      <c r="AD186" t="n">
        <v>1801954.958769136</v>
      </c>
      <c r="AE186" t="n">
        <v>1910065.227249766</v>
      </c>
      <c r="AF186" t="n">
        <v>2017198.320970779</v>
      </c>
      <c r="AG186" t="n">
        <v>2120876.370183526</v>
      </c>
      <c r="AH186" t="n">
        <v>2224520.877373849</v>
      </c>
      <c r="AI186" t="n">
        <v>2324602.645224718</v>
      </c>
      <c r="AJ186" t="n">
        <v>2421841.784390249</v>
      </c>
      <c r="AK186" t="n">
        <v>2520643.479277727</v>
      </c>
      <c r="AL186" t="n">
        <v>2616116.677089014</v>
      </c>
      <c r="AM186" t="n">
        <v>2710119.624743723</v>
      </c>
      <c r="AN186" t="n">
        <v>2801152.361042878</v>
      </c>
      <c r="AO186" t="n">
        <v>2892066.272541251</v>
      </c>
      <c r="AP186" t="n">
        <v>2980839.323337755</v>
      </c>
      <c r="AQ186" t="n">
        <v>3071198.9382669</v>
      </c>
      <c r="AR186" t="n">
        <v>3157621.993113761</v>
      </c>
      <c r="AS186" t="n">
        <v>3243834.804675126</v>
      </c>
      <c r="AT186" t="n">
        <v>3328535.01102814</v>
      </c>
      <c r="AU186" t="n">
        <v>3411984.321680898</v>
      </c>
      <c r="AV186" t="n">
        <v>3494137.805748411</v>
      </c>
      <c r="AW186" t="n">
        <v>3575747.806642188</v>
      </c>
      <c r="AX186" t="n">
        <v>3656998.836162686</v>
      </c>
      <c r="AY186" t="n">
        <v>3736689.912353481</v>
      </c>
      <c r="AZ186" t="n">
        <v>3815763.248244954</v>
      </c>
      <c r="BA186" t="n">
        <v>3895204.139747307</v>
      </c>
      <c r="BB186" t="n">
        <v>3972997.500897836</v>
      </c>
      <c r="BC186" t="n">
        <v>4047616.471093264</v>
      </c>
      <c r="BD186" t="n">
        <v>4123297.343631328</v>
      </c>
      <c r="BE186" t="n">
        <v>4198273.705787529</v>
      </c>
      <c r="BF186" t="n">
        <v>4271554.088782745</v>
      </c>
      <c r="BG186" t="n">
        <v>4345855.391290925</v>
      </c>
      <c r="BH186" t="n">
        <v>4418410.082420019</v>
      </c>
      <c r="BI186" t="n">
        <v>4489450.197546788</v>
      </c>
    </row>
    <row r="187" hidden="1" outlineLevel="2">
      <c r="A187" s="59" t="inlineStr">
        <is>
          <t>🟢 Escenario OPTIMISTA — "Todas las alianzas"</t>
        </is>
      </c>
      <c r="B187">
        <f t="array" ref="B187:BI187">_xlfn.LET(_xlpm.d,_xlfn.ANCHORARRAY(B168),_xlpm.roll,_xlfn.LET(_xlpm.cum,_xlfn.SCAN(0,_xlpm.d,_xlfn.LAMBDA(_xlpm.a,_xlpm.v,_xlpm.a+_xlpm.v)),_xlfn.HSTACK(_xlfn.TAKE(_xlpm.cum,,12),_xlfn.DROP(_xlpm.cum,,12)-_xlfn.TAKE(_xlpm.cum,,48))),_xlpm.d*$CP$167+_xlfn.ANCHORARRAY(B171)*Palancas!$B$9+_xlpm.d*$DB$167*$CN$167+_xlpm.roll*(($BS$167*$BP$167*$BR$167)+($BT$167*$BP$167*$BR$167*_xlfn.ANCHORARRAY(B176)))*$CO$167+IF(_xlfn.SEQUENCE(1,60)&gt;=$CU$167,_xlfn.ANCHORARRAY(B181)*$CT$167,0))</f>
        <v/>
      </c>
      <c r="C187" t="n">
        <v>591.9605340000001</v>
      </c>
      <c r="D187" t="n">
        <v>670.2064017</v>
      </c>
      <c r="E187" t="n">
        <v>1093.198357522</v>
      </c>
      <c r="F187" t="n">
        <v>1225.63758399337</v>
      </c>
      <c r="G187" t="n">
        <v>1479.545726261015</v>
      </c>
      <c r="H187" t="n">
        <v>2544.454333874985</v>
      </c>
      <c r="I187" t="n">
        <v>2908.058379310208</v>
      </c>
      <c r="J187" t="n">
        <v>3394.398118535448</v>
      </c>
      <c r="K187" t="n">
        <v>3763.514343095061</v>
      </c>
      <c r="L187" t="n">
        <v>4135.448386794914</v>
      </c>
      <c r="M187" t="n">
        <v>4630.242132468454</v>
      </c>
      <c r="N187" t="n">
        <v>31460.13610121483</v>
      </c>
      <c r="O187" t="n">
        <v>37597.46434090026</v>
      </c>
      <c r="P187" t="n">
        <v>44148.0004397601</v>
      </c>
      <c r="Q187" t="n">
        <v>50702.17428766019</v>
      </c>
      <c r="R187" t="n">
        <v>57705.11085197398</v>
      </c>
      <c r="S187" t="n">
        <v>64871.19040939443</v>
      </c>
      <c r="T187" t="n">
        <v>72263.5019846853</v>
      </c>
      <c r="U187" t="n">
        <v>80067.70611003223</v>
      </c>
      <c r="V187" t="n">
        <v>88048.66584134047</v>
      </c>
      <c r="W187" t="n">
        <v>96649.87041432147</v>
      </c>
      <c r="X187" t="n">
        <v>105345.8458938809</v>
      </c>
      <c r="Y187" t="n">
        <v>114033.7002529803</v>
      </c>
      <c r="Z187" t="n">
        <v>124232.7278684647</v>
      </c>
      <c r="AA187" t="n">
        <v>133582.8270083329</v>
      </c>
      <c r="AB187" t="n">
        <v>143205.8820935925</v>
      </c>
      <c r="AC187" t="n">
        <v>152328.2465588793</v>
      </c>
      <c r="AD187" t="n">
        <v>161285.956175112</v>
      </c>
      <c r="AE187" t="n">
        <v>170130.4952574387</v>
      </c>
      <c r="AF187" t="n">
        <v>178859.4299628355</v>
      </c>
      <c r="AG187" t="n">
        <v>187470.2671541857</v>
      </c>
      <c r="AH187" t="n">
        <v>195960.4533250652</v>
      </c>
      <c r="AI187" t="n">
        <v>204327.3735076271</v>
      </c>
      <c r="AJ187" t="n">
        <v>212568.3501633394</v>
      </c>
      <c r="AK187" t="n">
        <v>220737.5189548521</v>
      </c>
      <c r="AL187" t="n">
        <v>228555.2721424369</v>
      </c>
      <c r="AM187" t="n">
        <v>236294.1733233965</v>
      </c>
      <c r="AN187" t="n">
        <v>243894.3858439293</v>
      </c>
      <c r="AO187" t="n">
        <v>251411.1882759776</v>
      </c>
      <c r="AP187" t="n">
        <v>258842.5818422362</v>
      </c>
      <c r="AQ187" t="n">
        <v>266186.5186387674</v>
      </c>
      <c r="AR187" t="n">
        <v>273440.9007423952</v>
      </c>
      <c r="AS187" t="n">
        <v>280603.5793040608</v>
      </c>
      <c r="AT187" t="n">
        <v>287732.5301485569</v>
      </c>
      <c r="AU187" t="n">
        <v>294766.0936754923</v>
      </c>
      <c r="AV187" t="n">
        <v>301762.9250015916</v>
      </c>
      <c r="AW187" t="n">
        <v>308660.5090423295</v>
      </c>
      <c r="AX187" t="n">
        <v>315518.1924515218</v>
      </c>
      <c r="AY187" t="n">
        <v>322272.5860387128</v>
      </c>
      <c r="AZ187" t="n">
        <v>328983.740449964</v>
      </c>
      <c r="BA187" t="n">
        <v>335650.3285239791</v>
      </c>
      <c r="BB187" t="n">
        <v>342270.9883709</v>
      </c>
      <c r="BC187" t="n">
        <v>348780.537459953</v>
      </c>
      <c r="BD187" t="n">
        <v>355240.4851986274</v>
      </c>
      <c r="BE187" t="n">
        <v>361649.3489699547</v>
      </c>
      <c r="BF187" t="n">
        <v>368070.6704325813</v>
      </c>
      <c r="BG187" t="n">
        <v>374438.697509802</v>
      </c>
      <c r="BH187" t="n">
        <v>380751.845932288</v>
      </c>
      <c r="BI187" t="n">
        <v>387008.4919755906</v>
      </c>
    </row>
    <row r="188" hidden="1" outlineLevel="2">
      <c r="A188" s="520">
        <f>"• "&amp;DF194&amp;". Ramp-up: "&amp;TEXT(CM194,"0")&amp;" meses. Caja final: "&amp;TEXT(DM194,"$#,##0")&amp;". ARR Año 5: "&amp;TEXT(DN194,"$#,##0")&amp;". EBITDA 60m: "&amp;TEXT(DK194,"$#,##0")&amp;". Hiper-crecimiento en 3 mercados (Colombia, México, USA). Potencial de exit vía adquisición."</f>
        <v/>
      </c>
      <c r="B188" t="n">
        <v>0</v>
      </c>
      <c r="C188">
        <f>IF(INT((COLUMN()-2)/6)+1&gt;INT((COLUMN()-3)/6)+1,IF(B190&gt;0,B188+1,B188),B188)</f>
        <v/>
      </c>
      <c r="D188">
        <f>IF(INT((COLUMN()-2)/6)+1&gt;INT((COLUMN()-3)/6)+1,IF(C190&gt;0,C188+1,C188),C188)</f>
        <v/>
      </c>
      <c r="E188">
        <f>IF(INT((COLUMN()-2)/6)+1&gt;INT((COLUMN()-3)/6)+1,IF(D190&gt;0,D188+1,D188),D188)</f>
        <v/>
      </c>
      <c r="F188">
        <f>IF(INT((COLUMN()-2)/6)+1&gt;INT((COLUMN()-3)/6)+1,IF(E190&gt;0,E188+1,E188),E188)</f>
        <v/>
      </c>
      <c r="G188">
        <f>IF(INT((COLUMN()-2)/6)+1&gt;INT((COLUMN()-3)/6)+1,IF(F190&gt;0,F188+1,F188),F188)</f>
        <v/>
      </c>
      <c r="H188">
        <f>IF(INT((COLUMN()-2)/6)+1&gt;INT((COLUMN()-3)/6)+1,IF(G190&gt;0,G188+1,G188),G188)</f>
        <v/>
      </c>
      <c r="I188">
        <f>IF(INT((COLUMN()-2)/6)+1&gt;INT((COLUMN()-3)/6)+1,IF(H190&gt;0,H188+1,H188),H188)</f>
        <v/>
      </c>
      <c r="J188">
        <f>IF(INT((COLUMN()-2)/6)+1&gt;INT((COLUMN()-3)/6)+1,IF(I190&gt;0,I188+1,I188),I188)</f>
        <v/>
      </c>
      <c r="K188">
        <f>IF(INT((COLUMN()-2)/6)+1&gt;INT((COLUMN()-3)/6)+1,IF(J190&gt;0,J188+1,J188),J188)</f>
        <v/>
      </c>
      <c r="L188">
        <f>IF(INT((COLUMN()-2)/6)+1&gt;INT((COLUMN()-3)/6)+1,IF(K190&gt;0,K188+1,K188),K188)</f>
        <v/>
      </c>
      <c r="M188">
        <f>IF(INT((COLUMN()-2)/6)+1&gt;INT((COLUMN()-3)/6)+1,IF(L190&gt;0,L188+1,L188),L188)</f>
        <v/>
      </c>
      <c r="N188">
        <f>IF(INT((COLUMN()-2)/6)+1&gt;INT((COLUMN()-3)/6)+1,IF(M190&gt;0,M188+1,M188),M188)</f>
        <v/>
      </c>
      <c r="O188">
        <f>IF(INT((COLUMN()-2)/6)+1&gt;INT((COLUMN()-3)/6)+1,IF(N190&gt;0,N188+1,N188),N188)</f>
        <v/>
      </c>
      <c r="P188">
        <f>IF(INT((COLUMN()-2)/6)+1&gt;INT((COLUMN()-3)/6)+1,IF(O190&gt;0,O188+1,O188),O188)</f>
        <v/>
      </c>
      <c r="Q188">
        <f>IF(INT((COLUMN()-2)/6)+1&gt;INT((COLUMN()-3)/6)+1,IF(P190&gt;0,P188+1,P188),P188)</f>
        <v/>
      </c>
      <c r="R188">
        <f>IF(INT((COLUMN()-2)/6)+1&gt;INT((COLUMN()-3)/6)+1,IF(Q190&gt;0,Q188+1,Q188),Q188)</f>
        <v/>
      </c>
      <c r="S188">
        <f>IF(INT((COLUMN()-2)/6)+1&gt;INT((COLUMN()-3)/6)+1,IF(R190&gt;0,R188+1,R188),R188)</f>
        <v/>
      </c>
      <c r="T188">
        <f>IF(INT((COLUMN()-2)/6)+1&gt;INT((COLUMN()-3)/6)+1,IF(S190&gt;0,S188+1,S188),S188)</f>
        <v/>
      </c>
      <c r="U188">
        <f>IF(INT((COLUMN()-2)/6)+1&gt;INT((COLUMN()-3)/6)+1,IF(T190&gt;0,T188+1,T188),T188)</f>
        <v/>
      </c>
      <c r="V188">
        <f>IF(INT((COLUMN()-2)/6)+1&gt;INT((COLUMN()-3)/6)+1,IF(U190&gt;0,U188+1,U188),U188)</f>
        <v/>
      </c>
      <c r="W188">
        <f>IF(INT((COLUMN()-2)/6)+1&gt;INT((COLUMN()-3)/6)+1,IF(V190&gt;0,V188+1,V188),V188)</f>
        <v/>
      </c>
      <c r="X188">
        <f>IF(INT((COLUMN()-2)/6)+1&gt;INT((COLUMN()-3)/6)+1,IF(W190&gt;0,W188+1,W188),W188)</f>
        <v/>
      </c>
      <c r="Y188">
        <f>IF(INT((COLUMN()-2)/6)+1&gt;INT((COLUMN()-3)/6)+1,IF(X190&gt;0,X188+1,X188),X188)</f>
        <v/>
      </c>
      <c r="Z188">
        <f>IF(INT((COLUMN()-2)/6)+1&gt;INT((COLUMN()-3)/6)+1,IF(Y190&gt;0,Y188+1,Y188),Y188)</f>
        <v/>
      </c>
      <c r="AA188">
        <f>IF(INT((COLUMN()-2)/6)+1&gt;INT((COLUMN()-3)/6)+1,IF(Z190&gt;0,Z188+1,Z188),Z188)</f>
        <v/>
      </c>
      <c r="AB188">
        <f>IF(INT((COLUMN()-2)/6)+1&gt;INT((COLUMN()-3)/6)+1,IF(AA190&gt;0,AA188+1,AA188),AA188)</f>
        <v/>
      </c>
      <c r="AC188">
        <f>IF(INT((COLUMN()-2)/6)+1&gt;INT((COLUMN()-3)/6)+1,IF(AB190&gt;0,AB188+1,AB188),AB188)</f>
        <v/>
      </c>
      <c r="AD188">
        <f>IF(INT((COLUMN()-2)/6)+1&gt;INT((COLUMN()-3)/6)+1,IF(AC190&gt;0,AC188+1,AC188),AC188)</f>
        <v/>
      </c>
      <c r="AE188">
        <f>IF(INT((COLUMN()-2)/6)+1&gt;INT((COLUMN()-3)/6)+1,IF(AD190&gt;0,AD188+1,AD188),AD188)</f>
        <v/>
      </c>
      <c r="AF188">
        <f>IF(INT((COLUMN()-2)/6)+1&gt;INT((COLUMN()-3)/6)+1,IF(AE190&gt;0,AE188+1,AE188),AE188)</f>
        <v/>
      </c>
      <c r="AG188">
        <f>IF(INT((COLUMN()-2)/6)+1&gt;INT((COLUMN()-3)/6)+1,IF(AF190&gt;0,AF188+1,AF188),AF188)</f>
        <v/>
      </c>
      <c r="AH188">
        <f>IF(INT((COLUMN()-2)/6)+1&gt;INT((COLUMN()-3)/6)+1,IF(AG190&gt;0,AG188+1,AG188),AG188)</f>
        <v/>
      </c>
      <c r="AI188">
        <f>IF(INT((COLUMN()-2)/6)+1&gt;INT((COLUMN()-3)/6)+1,IF(AH190&gt;0,AH188+1,AH188),AH188)</f>
        <v/>
      </c>
      <c r="AJ188">
        <f>IF(INT((COLUMN()-2)/6)+1&gt;INT((COLUMN()-3)/6)+1,IF(AI190&gt;0,AI188+1,AI188),AI188)</f>
        <v/>
      </c>
      <c r="AK188">
        <f>IF(INT((COLUMN()-2)/6)+1&gt;INT((COLUMN()-3)/6)+1,IF(AJ190&gt;0,AJ188+1,AJ188),AJ188)</f>
        <v/>
      </c>
      <c r="AL188">
        <f>IF(INT((COLUMN()-2)/6)+1&gt;INT((COLUMN()-3)/6)+1,IF(AK190&gt;0,AK188+1,AK188),AK188)</f>
        <v/>
      </c>
      <c r="AM188">
        <f>IF(INT((COLUMN()-2)/6)+1&gt;INT((COLUMN()-3)/6)+1,IF(AL190&gt;0,AL188+1,AL188),AL188)</f>
        <v/>
      </c>
      <c r="AN188">
        <f>IF(INT((COLUMN()-2)/6)+1&gt;INT((COLUMN()-3)/6)+1,IF(AM190&gt;0,AM188+1,AM188),AM188)</f>
        <v/>
      </c>
      <c r="AO188">
        <f>IF(INT((COLUMN()-2)/6)+1&gt;INT((COLUMN()-3)/6)+1,IF(AN190&gt;0,AN188+1,AN188),AN188)</f>
        <v/>
      </c>
      <c r="AP188">
        <f>IF(INT((COLUMN()-2)/6)+1&gt;INT((COLUMN()-3)/6)+1,IF(AO190&gt;0,AO188+1,AO188),AO188)</f>
        <v/>
      </c>
      <c r="AQ188">
        <f>IF(INT((COLUMN()-2)/6)+1&gt;INT((COLUMN()-3)/6)+1,IF(AP190&gt;0,AP188+1,AP188),AP188)</f>
        <v/>
      </c>
      <c r="AR188">
        <f>IF(INT((COLUMN()-2)/6)+1&gt;INT((COLUMN()-3)/6)+1,IF(AQ190&gt;0,AQ188+1,AQ188),AQ188)</f>
        <v/>
      </c>
      <c r="AS188">
        <f>IF(INT((COLUMN()-2)/6)+1&gt;INT((COLUMN()-3)/6)+1,IF(AR190&gt;0,AR188+1,AR188),AR188)</f>
        <v/>
      </c>
      <c r="AT188">
        <f>IF(INT((COLUMN()-2)/6)+1&gt;INT((COLUMN()-3)/6)+1,IF(AS190&gt;0,AS188+1,AS188),AS188)</f>
        <v/>
      </c>
      <c r="AU188">
        <f>IF(INT((COLUMN()-2)/6)+1&gt;INT((COLUMN()-3)/6)+1,IF(AT190&gt;0,AT188+1,AT188),AT188)</f>
        <v/>
      </c>
      <c r="AV188">
        <f>IF(INT((COLUMN()-2)/6)+1&gt;INT((COLUMN()-3)/6)+1,IF(AU190&gt;0,AU188+1,AU188),AU188)</f>
        <v/>
      </c>
      <c r="AW188">
        <f>IF(INT((COLUMN()-2)/6)+1&gt;INT((COLUMN()-3)/6)+1,IF(AV190&gt;0,AV188+1,AV188),AV188)</f>
        <v/>
      </c>
      <c r="AX188">
        <f>IF(INT((COLUMN()-2)/6)+1&gt;INT((COLUMN()-3)/6)+1,IF(AW190&gt;0,AW188+1,AW188),AW188)</f>
        <v/>
      </c>
      <c r="AY188">
        <f>IF(INT((COLUMN()-2)/6)+1&gt;INT((COLUMN()-3)/6)+1,IF(AX190&gt;0,AX188+1,AX188),AX188)</f>
        <v/>
      </c>
      <c r="AZ188">
        <f>IF(INT((COLUMN()-2)/6)+1&gt;INT((COLUMN()-3)/6)+1,IF(AY190&gt;0,AY188+1,AY188),AY188)</f>
        <v/>
      </c>
      <c r="BA188">
        <f>IF(INT((COLUMN()-2)/6)+1&gt;INT((COLUMN()-3)/6)+1,IF(AZ190&gt;0,AZ188+1,AZ188),AZ188)</f>
        <v/>
      </c>
      <c r="BB188">
        <f>IF(INT((COLUMN()-2)/6)+1&gt;INT((COLUMN()-3)/6)+1,IF(BA190&gt;0,BA188+1,BA188),BA188)</f>
        <v/>
      </c>
      <c r="BC188">
        <f>IF(INT((COLUMN()-2)/6)+1&gt;INT((COLUMN()-3)/6)+1,IF(BB190&gt;0,BB188+1,BB188),BB188)</f>
        <v/>
      </c>
      <c r="BD188">
        <f>IF(INT((COLUMN()-2)/6)+1&gt;INT((COLUMN()-3)/6)+1,IF(BC190&gt;0,BC188+1,BC188),BC188)</f>
        <v/>
      </c>
      <c r="BE188">
        <f>IF(INT((COLUMN()-2)/6)+1&gt;INT((COLUMN()-3)/6)+1,IF(BD190&gt;0,BD188+1,BD188),BD188)</f>
        <v/>
      </c>
      <c r="BF188">
        <f>IF(INT((COLUMN()-2)/6)+1&gt;INT((COLUMN()-3)/6)+1,IF(BE190&gt;0,BE188+1,BE188),BE188)</f>
        <v/>
      </c>
      <c r="BG188">
        <f>IF(INT((COLUMN()-2)/6)+1&gt;INT((COLUMN()-3)/6)+1,IF(BF190&gt;0,BF188+1,BF188),BF188)</f>
        <v/>
      </c>
      <c r="BH188">
        <f>IF(INT((COLUMN()-2)/6)+1&gt;INT((COLUMN()-3)/6)+1,IF(BG190&gt;0,BG188+1,BG188),BG188)</f>
        <v/>
      </c>
      <c r="BI188">
        <f>IF(INT((COLUMN()-2)/6)+1&gt;INT((COLUMN()-3)/6)+1,IF(BH190&gt;0,BH188+1,BH188),BH188)</f>
        <v/>
      </c>
    </row>
    <row r="189" hidden="1" outlineLevel="2">
      <c r="A189" t="inlineStr">
        <is>
          <t>OPEX Total</t>
        </is>
      </c>
      <c r="B189">
        <f>$CW$167*$CA$167*(1+$CB$167)^B188+MIN(15000,3000+MAX(0,FLOOR(B173/100,1))*1000)+$CX$167</f>
        <v/>
      </c>
      <c r="C189">
        <f>$CW$194*$CA$194*(1+$CB$194)^C188+MIN(15000,3000+MAX(0,FLOOR(C173/100,1))*1000)+$CX$194</f>
        <v/>
      </c>
      <c r="D189">
        <f>$CW$194*$CA$194*(1+$CB$194)^D188+MIN(15000,3000+MAX(0,FLOOR(D173/100,1))*1000)+$CX$194</f>
        <v/>
      </c>
      <c r="E189">
        <f>$CW$194*$CA$194*(1+$CB$194)^E188+MIN(15000,3000+MAX(0,FLOOR(E173/100,1))*1000)+$CX$194</f>
        <v/>
      </c>
      <c r="F189">
        <f>$CW$194*$CA$194*(1+$CB$194)^F188+MIN(15000,3000+MAX(0,FLOOR(F173/100,1))*1000)+$CX$194</f>
        <v/>
      </c>
      <c r="G189">
        <f>$CW$194*$CA$194*(1+$CB$194)^G188+MIN(15000,3000+MAX(0,FLOOR(G173/100,1))*1000)+$CX$194</f>
        <v/>
      </c>
      <c r="H189">
        <f>$CW$194*$CA$194*(1+$CB$194)^H188+MIN(15000,3000+MAX(0,FLOOR(H173/100,1))*1000)+$CX$194</f>
        <v/>
      </c>
      <c r="I189">
        <f>$CW$194*$CA$194*(1+$CB$194)^I188+MIN(15000,3000+MAX(0,FLOOR(I173/100,1))*1000)+$CX$194</f>
        <v/>
      </c>
      <c r="J189">
        <f>$CW$194*$CA$194*(1+$CB$194)^J188+MIN(15000,3000+MAX(0,FLOOR(J173/100,1))*1000)+$CX$194</f>
        <v/>
      </c>
      <c r="K189">
        <f>$CW$194*$CA$194*(1+$CB$194)^K188+MIN(15000,3000+MAX(0,FLOOR(K173/100,1))*1000)+$CX$194</f>
        <v/>
      </c>
      <c r="L189">
        <f>$CW$194*$CA$194*(1+$CB$194)^L188+MIN(15000,3000+MAX(0,FLOOR(L173/100,1))*1000)+$CX$194</f>
        <v/>
      </c>
      <c r="M189">
        <f>$CW$194*$CA$194*(1+$CB$194)^M188+MIN(15000,3000+MAX(0,FLOOR(M173/100,1))*1000)+$CX$194</f>
        <v/>
      </c>
      <c r="N189">
        <f>$CW$194*$CA$194*(1+$CB$194)^N188+MIN(15000,3000+MAX(0,FLOOR(N173/100,1))*1000)+$CX$194</f>
        <v/>
      </c>
      <c r="O189">
        <f>$CW$194*$CA$194*(1+$CB$194)^O188+MIN(15000,3000+MAX(0,FLOOR(O173/100,1))*1000)+$CX$194</f>
        <v/>
      </c>
      <c r="P189">
        <f>$CW$194*$CA$194*(1+$CB$194)^P188+MIN(15000,3000+MAX(0,FLOOR(P173/100,1))*1000)+$CX$194</f>
        <v/>
      </c>
      <c r="Q189">
        <f>$CW$194*$CA$194*(1+$CB$194)^Q188+MIN(15000,3000+MAX(0,FLOOR(Q173/100,1))*1000)+$CX$194</f>
        <v/>
      </c>
      <c r="R189">
        <f>$CW$194*$CA$194*(1+$CB$194)^R188+MIN(15000,3000+MAX(0,FLOOR(R173/100,1))*1000)+$CX$194</f>
        <v/>
      </c>
      <c r="S189">
        <f>$CW$194*$CA$194*(1+$CB$194)^S188+MIN(15000,3000+MAX(0,FLOOR(S173/100,1))*1000)+$CX$194</f>
        <v/>
      </c>
      <c r="T189">
        <f>$CW$194*$CA$194*(1+$CB$194)^T188+MIN(15000,3000+MAX(0,FLOOR(T173/100,1))*1000)+$CX$194</f>
        <v/>
      </c>
      <c r="U189">
        <f>$CW$194*$CA$194*(1+$CB$194)^U188+MIN(15000,3000+MAX(0,FLOOR(U173/100,1))*1000)+$CX$194</f>
        <v/>
      </c>
      <c r="V189">
        <f>$CW$194*$CA$194*(1+$CB$194)^V188+MIN(15000,3000+MAX(0,FLOOR(V173/100,1))*1000)+$CX$194</f>
        <v/>
      </c>
      <c r="W189">
        <f>$CW$194*$CA$194*(1+$CB$194)^W188+MIN(15000,3000+MAX(0,FLOOR(W173/100,1))*1000)+$CX$194</f>
        <v/>
      </c>
      <c r="X189">
        <f>$CW$194*$CA$194*(1+$CB$194)^X188+MIN(15000,3000+MAX(0,FLOOR(X173/100,1))*1000)+$CX$194</f>
        <v/>
      </c>
      <c r="Y189">
        <f>$CW$194*$CA$194*(1+$CB$194)^Y188+MIN(15000,3000+MAX(0,FLOOR(Y173/100,1))*1000)+$CX$194</f>
        <v/>
      </c>
      <c r="Z189">
        <f>$CW$194*$CA$194*(1+$CB$194)^Z188+MIN(15000,3000+MAX(0,FLOOR(Z173/100,1))*1000)+$CX$194</f>
        <v/>
      </c>
      <c r="AA189">
        <f>$CW$194*$CA$194*(1+$CB$194)^AA188+MIN(15000,3000+MAX(0,FLOOR(AA173/100,1))*1000)+$CX$194</f>
        <v/>
      </c>
      <c r="AB189">
        <f>$CW$194*$CA$194*(1+$CB$194)^AB188+MIN(15000,3000+MAX(0,FLOOR(AB173/100,1))*1000)+$CX$194</f>
        <v/>
      </c>
      <c r="AC189">
        <f>$CW$194*$CA$194*(1+$CB$194)^AC188+MIN(15000,3000+MAX(0,FLOOR(AC173/100,1))*1000)+$CX$194</f>
        <v/>
      </c>
      <c r="AD189">
        <f>$CW$194*$CA$194*(1+$CB$194)^AD188+MIN(15000,3000+MAX(0,FLOOR(AD173/100,1))*1000)+$CX$194</f>
        <v/>
      </c>
      <c r="AE189">
        <f>$CW$194*$CA$194*(1+$CB$194)^AE188+MIN(15000,3000+MAX(0,FLOOR(AE173/100,1))*1000)+$CX$194</f>
        <v/>
      </c>
      <c r="AF189">
        <f>$CW$194*$CA$194*(1+$CB$194)^AF188+MIN(15000,3000+MAX(0,FLOOR(AF173/100,1))*1000)+$CX$194</f>
        <v/>
      </c>
      <c r="AG189">
        <f>$CW$194*$CA$194*(1+$CB$194)^AG188+MIN(15000,3000+MAX(0,FLOOR(AG173/100,1))*1000)+$CX$194</f>
        <v/>
      </c>
      <c r="AH189">
        <f>$CW$194*$CA$194*(1+$CB$194)^AH188+MIN(15000,3000+MAX(0,FLOOR(AH173/100,1))*1000)+$CX$194</f>
        <v/>
      </c>
      <c r="AI189">
        <f>$CW$194*$CA$194*(1+$CB$194)^AI188+MIN(15000,3000+MAX(0,FLOOR(AI173/100,1))*1000)+$CX$194</f>
        <v/>
      </c>
      <c r="AJ189">
        <f>$CW$194*$CA$194*(1+$CB$194)^AJ188+MIN(15000,3000+MAX(0,FLOOR(AJ173/100,1))*1000)+$CX$194</f>
        <v/>
      </c>
      <c r="AK189">
        <f>$CW$194*$CA$194*(1+$CB$194)^AK188+MIN(15000,3000+MAX(0,FLOOR(AK173/100,1))*1000)+$CX$194</f>
        <v/>
      </c>
      <c r="AL189">
        <f>$CW$194*$CA$194*(1+$CB$194)^AL188+MIN(15000,3000+MAX(0,FLOOR(AL173/100,1))*1000)+$CX$194</f>
        <v/>
      </c>
      <c r="AM189">
        <f>$CW$194*$CA$194*(1+$CB$194)^AM188+MIN(15000,3000+MAX(0,FLOOR(AM173/100,1))*1000)+$CX$194</f>
        <v/>
      </c>
      <c r="AN189">
        <f>$CW$194*$CA$194*(1+$CB$194)^AN188+MIN(15000,3000+MAX(0,FLOOR(AN173/100,1))*1000)+$CX$194</f>
        <v/>
      </c>
      <c r="AO189">
        <f>$CW$194*$CA$194*(1+$CB$194)^AO188+MIN(15000,3000+MAX(0,FLOOR(AO173/100,1))*1000)+$CX$194</f>
        <v/>
      </c>
      <c r="AP189">
        <f>$CW$194*$CA$194*(1+$CB$194)^AP188+MIN(15000,3000+MAX(0,FLOOR(AP173/100,1))*1000)+$CX$194</f>
        <v/>
      </c>
      <c r="AQ189">
        <f>$CW$194*$CA$194*(1+$CB$194)^AQ188+MIN(15000,3000+MAX(0,FLOOR(AQ173/100,1))*1000)+$CX$194</f>
        <v/>
      </c>
      <c r="AR189">
        <f>$CW$194*$CA$194*(1+$CB$194)^AR188+MIN(15000,3000+MAX(0,FLOOR(AR173/100,1))*1000)+$CX$194</f>
        <v/>
      </c>
      <c r="AS189">
        <f>$CW$194*$CA$194*(1+$CB$194)^AS188+MIN(15000,3000+MAX(0,FLOOR(AS173/100,1))*1000)+$CX$194</f>
        <v/>
      </c>
      <c r="AT189">
        <f>$CW$194*$CA$194*(1+$CB$194)^AT188+MIN(15000,3000+MAX(0,FLOOR(AT173/100,1))*1000)+$CX$194</f>
        <v/>
      </c>
      <c r="AU189">
        <f>$CW$194*$CA$194*(1+$CB$194)^AU188+MIN(15000,3000+MAX(0,FLOOR(AU173/100,1))*1000)+$CX$194</f>
        <v/>
      </c>
      <c r="AV189">
        <f>$CW$194*$CA$194*(1+$CB$194)^AV188+MIN(15000,3000+MAX(0,FLOOR(AV173/100,1))*1000)+$CX$194</f>
        <v/>
      </c>
      <c r="AW189">
        <f>$CW$194*$CA$194*(1+$CB$194)^AW188+MIN(15000,3000+MAX(0,FLOOR(AW173/100,1))*1000)+$CX$194</f>
        <v/>
      </c>
      <c r="AX189">
        <f>$CW$194*$CA$194*(1+$CB$194)^AX188+MIN(15000,3000+MAX(0,FLOOR(AX173/100,1))*1000)+$CX$194</f>
        <v/>
      </c>
      <c r="AY189">
        <f>$CW$194*$CA$194*(1+$CB$194)^AY188+MIN(15000,3000+MAX(0,FLOOR(AY173/100,1))*1000)+$CX$194</f>
        <v/>
      </c>
      <c r="AZ189">
        <f>$CW$194*$CA$194*(1+$CB$194)^AZ188+MIN(15000,3000+MAX(0,FLOOR(AZ173/100,1))*1000)+$CX$194</f>
        <v/>
      </c>
      <c r="BA189">
        <f>$CW$194*$CA$194*(1+$CB$194)^BA188+MIN(15000,3000+MAX(0,FLOOR(BA173/100,1))*1000)+$CX$194</f>
        <v/>
      </c>
      <c r="BB189">
        <f>$CW$194*$CA$194*(1+$CB$194)^BB188+MIN(15000,3000+MAX(0,FLOOR(BB173/100,1))*1000)+$CX$194</f>
        <v/>
      </c>
      <c r="BC189">
        <f>$CW$194*$CA$194*(1+$CB$194)^BC188+MIN(15000,3000+MAX(0,FLOOR(BC173/100,1))*1000)+$CX$194</f>
        <v/>
      </c>
      <c r="BD189">
        <f>$CW$194*$CA$194*(1+$CB$194)^BD188+MIN(15000,3000+MAX(0,FLOOR(BD173/100,1))*1000)+$CX$194</f>
        <v/>
      </c>
      <c r="BE189">
        <f>$CW$194*$CA$194*(1+$CB$194)^BE188+MIN(15000,3000+MAX(0,FLOOR(BE173/100,1))*1000)+$CX$194</f>
        <v/>
      </c>
      <c r="BF189">
        <f>$CW$194*$CA$194*(1+$CB$194)^BF188+MIN(15000,3000+MAX(0,FLOOR(BF173/100,1))*1000)+$CX$194</f>
        <v/>
      </c>
      <c r="BG189">
        <f>$CW$194*$CA$194*(1+$CB$194)^BG188+MIN(15000,3000+MAX(0,FLOOR(BG173/100,1))*1000)+$CX$194</f>
        <v/>
      </c>
      <c r="BH189">
        <f>$CW$194*$CA$194*(1+$CB$194)^BH188+MIN(15000,3000+MAX(0,FLOOR(BH173/100,1))*1000)+$CX$194</f>
        <v/>
      </c>
      <c r="BI189">
        <f>$CW$194*$CA$194*(1+$CB$194)^BI188+MIN(15000,3000+MAX(0,FLOOR(BI173/100,1))*1000)+$CX$194</f>
        <v/>
      </c>
    </row>
    <row r="190" hidden="1" outlineLevel="2">
      <c r="A190" s="286" t="inlineStr">
        <is>
          <t>Este documento refleja el modelo financiero v4.0 con segmentación por tamaño de restaurante (Pricing v2.5) y ramp-up lineal de alianzas. Los números se actualizan dinámicamente. Para simulaciones, modificar Escenarios!B4 (selector).</t>
        </is>
      </c>
      <c r="B190">
        <f>B181-B186-B187-B189</f>
        <v/>
      </c>
      <c r="C190">
        <f>C181-C186-C187-C189</f>
        <v/>
      </c>
      <c r="D190">
        <f>D181-D186-D187-D189</f>
        <v/>
      </c>
      <c r="E190">
        <f>E181-E186-E187-E189</f>
        <v/>
      </c>
      <c r="F190">
        <f>F181-F186-F187-F189</f>
        <v/>
      </c>
      <c r="G190">
        <f>G181-G186-G187-G189</f>
        <v/>
      </c>
      <c r="H190">
        <f>H181-H186-H187-H189</f>
        <v/>
      </c>
      <c r="I190">
        <f>I181-I186-I187-I189</f>
        <v/>
      </c>
      <c r="J190">
        <f>J181-J186-J187-J189</f>
        <v/>
      </c>
      <c r="K190">
        <f>K181-K186-K187-K189</f>
        <v/>
      </c>
      <c r="L190">
        <f>L181-L186-L187-L189</f>
        <v/>
      </c>
      <c r="M190">
        <f>M181-M186-M187-M189</f>
        <v/>
      </c>
      <c r="N190">
        <f>N181-N186-N187-N189</f>
        <v/>
      </c>
      <c r="O190">
        <f>O181-O186-O187-O189</f>
        <v/>
      </c>
      <c r="P190">
        <f>P181-P186-P187-P189</f>
        <v/>
      </c>
      <c r="Q190">
        <f>Q181-Q186-Q187-Q189</f>
        <v/>
      </c>
      <c r="R190">
        <f>R181-R186-R187-R189</f>
        <v/>
      </c>
      <c r="S190">
        <f>S181-S186-S187-S189</f>
        <v/>
      </c>
      <c r="T190">
        <f>T181-T186-T187-T189</f>
        <v/>
      </c>
      <c r="U190">
        <f>U181-U186-U187-U189</f>
        <v/>
      </c>
      <c r="V190">
        <f>V181-V186-V187-V189</f>
        <v/>
      </c>
      <c r="W190">
        <f>W181-W186-W187-W189</f>
        <v/>
      </c>
      <c r="X190">
        <f>X181-X186-X187-X189</f>
        <v/>
      </c>
      <c r="Y190">
        <f>Y181-Y186-Y187-Y189</f>
        <v/>
      </c>
      <c r="Z190">
        <f>Z181-Z186-Z187-Z189</f>
        <v/>
      </c>
      <c r="AA190">
        <f>AA181-AA186-AA187-AA189</f>
        <v/>
      </c>
      <c r="AB190">
        <f>AB181-AB186-AB187-AB189</f>
        <v/>
      </c>
      <c r="AC190">
        <f>AC181-AC186-AC187-AC189</f>
        <v/>
      </c>
      <c r="AD190">
        <f>AD181-AD186-AD187-AD189</f>
        <v/>
      </c>
      <c r="AE190">
        <f>AE181-AE186-AE187-AE189</f>
        <v/>
      </c>
      <c r="AF190">
        <f>AF181-AF186-AF187-AF189</f>
        <v/>
      </c>
      <c r="AG190">
        <f>AG181-AG186-AG187-AG189</f>
        <v/>
      </c>
      <c r="AH190">
        <f>AH181-AH186-AH187-AH189</f>
        <v/>
      </c>
      <c r="AI190">
        <f>AI181-AI186-AI187-AI189</f>
        <v/>
      </c>
      <c r="AJ190">
        <f>AJ181-AJ186-AJ187-AJ189</f>
        <v/>
      </c>
      <c r="AK190">
        <f>AK181-AK186-AK187-AK189</f>
        <v/>
      </c>
      <c r="AL190">
        <f>AL181-AL186-AL187-AL189</f>
        <v/>
      </c>
      <c r="AM190">
        <f>AM181-AM186-AM187-AM189</f>
        <v/>
      </c>
      <c r="AN190">
        <f>AN181-AN186-AN187-AN189</f>
        <v/>
      </c>
      <c r="AO190">
        <f>AO181-AO186-AO187-AO189</f>
        <v/>
      </c>
      <c r="AP190">
        <f>AP181-AP186-AP187-AP189</f>
        <v/>
      </c>
      <c r="AQ190">
        <f>AQ181-AQ186-AQ187-AQ189</f>
        <v/>
      </c>
      <c r="AR190">
        <f>AR181-AR186-AR187-AR189</f>
        <v/>
      </c>
      <c r="AS190">
        <f>AS181-AS186-AS187-AS189</f>
        <v/>
      </c>
      <c r="AT190">
        <f>AT181-AT186-AT187-AT189</f>
        <v/>
      </c>
      <c r="AU190">
        <f>AU181-AU186-AU187-AU189</f>
        <v/>
      </c>
      <c r="AV190">
        <f>AV181-AV186-AV187-AV189</f>
        <v/>
      </c>
      <c r="AW190">
        <f>AW181-AW186-AW187-AW189</f>
        <v/>
      </c>
      <c r="AX190">
        <f>AX181-AX186-AX187-AX189</f>
        <v/>
      </c>
      <c r="AY190">
        <f>AY181-AY186-AY187-AY189</f>
        <v/>
      </c>
      <c r="AZ190">
        <f>AZ181-AZ186-AZ187-AZ189</f>
        <v/>
      </c>
      <c r="BA190">
        <f>BA181-BA186-BA187-BA189</f>
        <v/>
      </c>
      <c r="BB190">
        <f>BB181-BB186-BB187-BB189</f>
        <v/>
      </c>
      <c r="BC190">
        <f>BC181-BC186-BC187-BC189</f>
        <v/>
      </c>
      <c r="BD190">
        <f>BD181-BD186-BD187-BD189</f>
        <v/>
      </c>
      <c r="BE190">
        <f>BE181-BE186-BE187-BE189</f>
        <v/>
      </c>
      <c r="BF190">
        <f>BF181-BF186-BF187-BF189</f>
        <v/>
      </c>
      <c r="BG190">
        <f>BG181-BG186-BG187-BG189</f>
        <v/>
      </c>
      <c r="BH190">
        <f>BH181-BH186-BH187-BH189</f>
        <v/>
      </c>
      <c r="BI190">
        <f>BI181-BI186-BI187-BI189</f>
        <v/>
      </c>
    </row>
    <row r="191" hidden="1" outlineLevel="2">
      <c r="A191" t="inlineStr">
        <is>
          <t>Net Income</t>
        </is>
      </c>
      <c r="B191">
        <f t="array" ref="B191:BI191">B190:BI190-IF(B190:BI190&gt;0,B190:BI190*$CZ$167,0)</f>
        <v/>
      </c>
      <c r="C191" t="n">
        <v>-70197.6693269375</v>
      </c>
      <c r="D191" t="n">
        <v>-64670.4523516025</v>
      </c>
      <c r="E191" t="n">
        <v>-59862.74397596465</v>
      </c>
      <c r="F191" t="n">
        <v>-54024.82771869276</v>
      </c>
      <c r="G191" t="n">
        <v>-45136.82370932295</v>
      </c>
      <c r="H191" t="n">
        <v>-29614.08086984181</v>
      </c>
      <c r="I191" t="n">
        <v>-8996.963045708551</v>
      </c>
      <c r="J191" t="n">
        <v>12687.81350341049</v>
      </c>
      <c r="K191" t="n">
        <v>28077.40026183074</v>
      </c>
      <c r="L191" t="n">
        <v>45747.18026769639</v>
      </c>
      <c r="M191" t="n">
        <v>65521.9728812348</v>
      </c>
      <c r="N191" t="n">
        <v>70175.65944470234</v>
      </c>
      <c r="O191" t="n">
        <v>96028.72385750065</v>
      </c>
      <c r="P191" t="n">
        <v>123073.0338210637</v>
      </c>
      <c r="Q191" t="n">
        <v>148770.9986288284</v>
      </c>
      <c r="R191" t="n">
        <v>175907.5554392078</v>
      </c>
      <c r="S191" t="n">
        <v>204387.1581686202</v>
      </c>
      <c r="T191" t="n">
        <v>229670.2805538602</v>
      </c>
      <c r="U191" t="n">
        <v>261166.7676946158</v>
      </c>
      <c r="V191" t="n">
        <v>293750.6553249132</v>
      </c>
      <c r="W191" t="n">
        <v>329806.2922648443</v>
      </c>
      <c r="X191" t="n">
        <v>365782.138998186</v>
      </c>
      <c r="Y191" t="n">
        <v>402798.9316272266</v>
      </c>
      <c r="Z191" t="n">
        <v>437301.9820527927</v>
      </c>
      <c r="AA191" t="n">
        <v>476098.265423332</v>
      </c>
      <c r="AB191" t="n">
        <v>518112.4556530744</v>
      </c>
      <c r="AC191" t="n">
        <v>554256.6654440338</v>
      </c>
      <c r="AD191" t="n">
        <v>589798.2337584079</v>
      </c>
      <c r="AE191" t="n">
        <v>625496.2271346559</v>
      </c>
      <c r="AF191" t="n">
        <v>656104.8855727799</v>
      </c>
      <c r="AG191" t="n">
        <v>691719.1286261346</v>
      </c>
      <c r="AH191" t="n">
        <v>725825.0513773049</v>
      </c>
      <c r="AI191" t="n">
        <v>760683.7639250821</v>
      </c>
      <c r="AJ191" t="n">
        <v>795793.545981215</v>
      </c>
      <c r="AK191" t="n">
        <v>828959.0148028311</v>
      </c>
      <c r="AL191" t="n">
        <v>858175.3296862547</v>
      </c>
      <c r="AM191" t="n">
        <v>891965.1685172231</v>
      </c>
      <c r="AN191" t="n">
        <v>925966.0030252484</v>
      </c>
      <c r="AO191" t="n">
        <v>959007.0539457366</v>
      </c>
      <c r="AP191" t="n">
        <v>992377.8906635225</v>
      </c>
      <c r="AQ191" t="n">
        <v>1023630.32568088</v>
      </c>
      <c r="AR191" t="n">
        <v>1051362.081047624</v>
      </c>
      <c r="AS191" t="n">
        <v>1083057.099215661</v>
      </c>
      <c r="AT191" t="n">
        <v>1115311.516116546</v>
      </c>
      <c r="AU191" t="n">
        <v>1147193.651931731</v>
      </c>
      <c r="AV191" t="n">
        <v>1179457.029128818</v>
      </c>
      <c r="AW191" t="n">
        <v>1210840.489164256</v>
      </c>
      <c r="AX191" t="n">
        <v>1236593.32055832</v>
      </c>
      <c r="AY191" t="n">
        <v>1267440.499983429</v>
      </c>
      <c r="AZ191" t="n">
        <v>1298147.502961712</v>
      </c>
      <c r="BA191" t="n">
        <v>1328057.419671348</v>
      </c>
      <c r="BB191" t="n">
        <v>1358463.158839776</v>
      </c>
      <c r="BC191" t="n">
        <v>1389552.09701742</v>
      </c>
      <c r="BD191" t="n">
        <v>1413537.479342248</v>
      </c>
      <c r="BE191" t="n">
        <v>1443134.535656329</v>
      </c>
      <c r="BF191" t="n">
        <v>1473979.653153993</v>
      </c>
      <c r="BG191" t="n">
        <v>1503494.727772281</v>
      </c>
      <c r="BH191" t="n">
        <v>1533459.00626945</v>
      </c>
      <c r="BI191" t="n">
        <v>1563701.529232347</v>
      </c>
    </row>
    <row r="192" hidden="1" outlineLevel="2">
      <c r="A192" t="inlineStr">
        <is>
          <t>Cash Final</t>
        </is>
      </c>
      <c r="B192">
        <f>$DE$167+B191</f>
        <v/>
      </c>
      <c r="C192">
        <f>B192+C191</f>
        <v/>
      </c>
      <c r="D192">
        <f>C192+D191</f>
        <v/>
      </c>
      <c r="E192">
        <f>D192+E191</f>
        <v/>
      </c>
      <c r="F192">
        <f>E192+F191</f>
        <v/>
      </c>
      <c r="G192">
        <f>F192+G191</f>
        <v/>
      </c>
      <c r="H192">
        <f>G192+H191</f>
        <v/>
      </c>
      <c r="I192">
        <f>H192+I191</f>
        <v/>
      </c>
      <c r="J192">
        <f>I192+J191</f>
        <v/>
      </c>
      <c r="K192">
        <f>J192+K191</f>
        <v/>
      </c>
      <c r="L192">
        <f>K192+L191</f>
        <v/>
      </c>
      <c r="M192">
        <f>L192+M191</f>
        <v/>
      </c>
      <c r="N192">
        <f>M192+N191</f>
        <v/>
      </c>
      <c r="O192">
        <f>N192+O191</f>
        <v/>
      </c>
      <c r="P192">
        <f>O192+P191</f>
        <v/>
      </c>
      <c r="Q192">
        <f>P192+Q191</f>
        <v/>
      </c>
      <c r="R192">
        <f>Q192+R191</f>
        <v/>
      </c>
      <c r="S192">
        <f>R192+S191</f>
        <v/>
      </c>
      <c r="T192">
        <f>S192+T191</f>
        <v/>
      </c>
      <c r="U192">
        <f>T192+U191</f>
        <v/>
      </c>
      <c r="V192">
        <f>U192+V191</f>
        <v/>
      </c>
      <c r="W192">
        <f>V192+W191</f>
        <v/>
      </c>
      <c r="X192">
        <f>W192+X191</f>
        <v/>
      </c>
      <c r="Y192">
        <f>X192+Y191</f>
        <v/>
      </c>
      <c r="Z192">
        <f>Y192+Z191</f>
        <v/>
      </c>
      <c r="AA192">
        <f>Z192+AA191</f>
        <v/>
      </c>
      <c r="AB192">
        <f>AA192+AB191</f>
        <v/>
      </c>
      <c r="AC192">
        <f>AB192+AC191</f>
        <v/>
      </c>
      <c r="AD192">
        <f>AC192+AD191</f>
        <v/>
      </c>
      <c r="AE192">
        <f>AD192+AE191</f>
        <v/>
      </c>
      <c r="AF192">
        <f>AE192+AF191</f>
        <v/>
      </c>
      <c r="AG192">
        <f>AF192+AG191</f>
        <v/>
      </c>
      <c r="AH192">
        <f>AG192+AH191</f>
        <v/>
      </c>
      <c r="AI192">
        <f>AH192+AI191</f>
        <v/>
      </c>
      <c r="AJ192">
        <f>AI192+AJ191</f>
        <v/>
      </c>
      <c r="AK192">
        <f>AJ192+AK191</f>
        <v/>
      </c>
      <c r="AL192">
        <f>AK192+AL191</f>
        <v/>
      </c>
      <c r="AM192">
        <f>AL192+AM191</f>
        <v/>
      </c>
      <c r="AN192">
        <f>AM192+AN191</f>
        <v/>
      </c>
      <c r="AO192">
        <f>AN192+AO191</f>
        <v/>
      </c>
      <c r="AP192">
        <f>AO192+AP191</f>
        <v/>
      </c>
      <c r="AQ192">
        <f>AP192+AQ191</f>
        <v/>
      </c>
      <c r="AR192">
        <f>AQ192+AR191</f>
        <v/>
      </c>
      <c r="AS192">
        <f>AR192+AS191</f>
        <v/>
      </c>
      <c r="AT192">
        <f>AS192+AT191</f>
        <v/>
      </c>
      <c r="AU192">
        <f>AT192+AU191</f>
        <v/>
      </c>
      <c r="AV192">
        <f>AU192+AV191</f>
        <v/>
      </c>
      <c r="AW192">
        <f>AV192+AW191</f>
        <v/>
      </c>
      <c r="AX192">
        <f>AW192+AX191</f>
        <v/>
      </c>
      <c r="AY192">
        <f>AX192+AY191</f>
        <v/>
      </c>
      <c r="AZ192">
        <f>AY192+AZ191</f>
        <v/>
      </c>
      <c r="BA192">
        <f>AZ192+BA191</f>
        <v/>
      </c>
      <c r="BB192">
        <f>BA192+BB191</f>
        <v/>
      </c>
      <c r="BC192">
        <f>BB192+BC191</f>
        <v/>
      </c>
      <c r="BD192">
        <f>BC192+BD191</f>
        <v/>
      </c>
      <c r="BE192">
        <f>BD192+BE191</f>
        <v/>
      </c>
      <c r="BF192">
        <f>BE192+BF191</f>
        <v/>
      </c>
      <c r="BG192">
        <f>BF192+BG191</f>
        <v/>
      </c>
      <c r="BH192">
        <f>BG192+BH191</f>
        <v/>
      </c>
      <c r="BI192">
        <f>BH192+BI191</f>
        <v/>
      </c>
    </row>
    <row r="193" hidden="1" outlineLevel="2"/>
    <row r="194" hidden="1" outlineLevel="2">
      <c r="A194" t="inlineStr">
        <is>
          <t>TABLE6 HELPER — Optimista</t>
        </is>
      </c>
      <c r="BJ194" t="n">
        <v>3</v>
      </c>
      <c r="BK194">
        <f>CHOOSE($BJ$194,Escenarios!$D$9,Escenarios!$E$9,Escenarios!$F$9)</f>
        <v/>
      </c>
      <c r="BL194">
        <f>CHOOSE($BJ$194,Escenarios!$D$10,Escenarios!$E$10,Escenarios!$F$10)</f>
        <v/>
      </c>
      <c r="BM194">
        <f>CHOOSE($BJ$194,Escenarios!$D$11,Escenarios!$E$11,Escenarios!$F$11)</f>
        <v/>
      </c>
      <c r="BN194">
        <f>CHOOSE($BJ$194,Escenarios!$D$12,Escenarios!$E$12,Escenarios!$F$12)</f>
        <v/>
      </c>
      <c r="BO194">
        <f>CHOOSE($BJ$194,Escenarios!$D$13,Escenarios!$E$13,Escenarios!$F$13)</f>
        <v/>
      </c>
      <c r="BP194">
        <f>Escenarios!$F$28*'Supuestos Generales'!$B$50+Escenarios!$F$29*'Supuestos Generales'!$B$51+Escenarios!$F$30*'Supuestos Generales'!$B$52</f>
        <v/>
      </c>
      <c r="BQ194">
        <f>CHOOSE($BJ$194,Escenarios!$D$17,Escenarios!$E$17,Escenarios!$F$17)</f>
        <v/>
      </c>
      <c r="BR194">
        <f>CHOOSE($BJ$194,Escenarios!$D$18,Escenarios!$E$18,Escenarios!$F$18)</f>
        <v/>
      </c>
      <c r="BS194">
        <f>(Escenarios!$F$28*'Supuestos Generales'!$B$46*(1-IF($BU$194&lt;1,0,IF($BU$194&lt;2,0.1,IF($BU$194&lt;3,0.2,IF($BU$194&lt;4,0.3,IF($BU$194&lt;5,0.4,0.5))))))+Escenarios!$F$29*'Supuestos Generales'!$B$47*(1-IF($BU$194&lt;1,0,IF($BU$194&lt;2,0.1,IF($BU$194&lt;3,0.2,IF($BU$194&lt;4,0.3,IF($BU$194&lt;5,0.4,0.5))))))+Escenarios!$F$30*'Supuestos Generales'!$B$48*(1-IF('Supuestos Generales'!$B$52&lt;=10,0,IF('Supuestos Generales'!$B$52&lt;=15,0.05,IF('Supuestos Generales'!$B$52&lt;=25,0.1,IF('Supuestos Generales'!$B$52&lt;=40,0.15,0.2)))))*(1-IF($BU$194&lt;1,0,IF($BU$194&lt;2,0.1,IF($BU$194&lt;3,0.2,IF($BU$194&lt;4,0.3,IF($BU$194&lt;5,0.4,0.5)))))))</f>
        <v/>
      </c>
      <c r="BT194">
        <f>CHOOSE($BJ$194,Escenarios!$D$20,Escenarios!$E$20,Escenarios!$F$20)</f>
        <v/>
      </c>
      <c r="BU194">
        <f>CHOOSE($BJ$194,Escenarios!$D$21,Escenarios!$E$21,Escenarios!$F$21)</f>
        <v/>
      </c>
      <c r="BV194">
        <f>CHOOSE($BJ$194,Escenarios!$D$22,Escenarios!$E$22,Escenarios!$F$22)</f>
        <v/>
      </c>
      <c r="BW194">
        <f>CHOOSE($BJ$194,Escenarios!$D$23,Escenarios!$E$23,Escenarios!$F$23)</f>
        <v/>
      </c>
      <c r="BX194">
        <f>CHOOSE($BJ$194,Escenarios!$D$24,Escenarios!$E$24,Escenarios!$F$24)</f>
        <v/>
      </c>
      <c r="BY194">
        <f>CHOOSE($BJ$194,Escenarios!$D$26,Escenarios!$E$26,Escenarios!$F$26)</f>
        <v/>
      </c>
      <c r="BZ194">
        <f>CHOOSE($BJ$194,Escenarios!$D$39,Escenarios!$E$39,Escenarios!$F$39)</f>
        <v/>
      </c>
      <c r="CA194">
        <f>CHOOSE($BJ$194,Escenarios!$D$34,Escenarios!$E$34,Escenarios!$F$34)</f>
        <v/>
      </c>
      <c r="CB194">
        <f>CHOOSE($BJ$194,Escenarios!$D$35,Escenarios!$E$35,Escenarios!$F$35)</f>
        <v/>
      </c>
      <c r="CC194">
        <f>CHOOSE($BJ$194,Escenarios!$D$36,Escenarios!$E$36,Escenarios!$F$36)</f>
        <v/>
      </c>
      <c r="CD194">
        <f>CHOOSE($BJ$194,Escenarios!$D$37,Escenarios!$E$37,Escenarios!$F$37)</f>
        <v/>
      </c>
      <c r="CE194">
        <f>CHOOSE($BJ$194,Escenarios!$D$38,Escenarios!$E$38,Escenarios!$F$38)</f>
        <v/>
      </c>
      <c r="CF194">
        <f>CHOOSE($BJ$194,Escenarios!$D$44,Escenarios!$E$44,Escenarios!$F$44)</f>
        <v/>
      </c>
      <c r="CG194">
        <f>CHOOSE($BJ$194,Escenarios!$D$45,Escenarios!$E$45,Escenarios!$F$45)</f>
        <v/>
      </c>
      <c r="CH194">
        <f>CHOOSE($BJ$194,Escenarios!$D$46,Escenarios!$E$46,Escenarios!$F$46)</f>
        <v/>
      </c>
      <c r="CI194">
        <f>CHOOSE($BJ$194,Escenarios!$D$47,Escenarios!$E$47,Escenarios!$F$47)</f>
        <v/>
      </c>
      <c r="CJ194">
        <f>CHOOSE($BJ$194,Escenarios!$D$48,Escenarios!$E$48,Escenarios!$F$48)</f>
        <v/>
      </c>
      <c r="CK194">
        <f>CHOOSE($BJ$194,Escenarios!$D$49,Escenarios!$E$49,Escenarios!$F$49)</f>
        <v/>
      </c>
      <c r="CL194">
        <f>CHOOSE($BJ$194,Escenarios!$D$50,Escenarios!$E$50,Escenarios!$F$50)</f>
        <v/>
      </c>
      <c r="CM194">
        <f>CHOOSE($BJ$194,Escenarios!$D$51,Escenarios!$E$51,Escenarios!$F$51)</f>
        <v/>
      </c>
      <c r="CN194">
        <f>SUMPRODUCT('Supuestos Generales'!$B$96:$B$99,'Supuestos Generales'!$B$102:$B$105)</f>
        <v/>
      </c>
      <c r="CO194">
        <f>SUMPRODUCT('Supuestos Generales'!$B$96:$B$99,'Supuestos Generales'!$B$107:$B$110)</f>
        <v/>
      </c>
      <c r="CP194">
        <f>IF('Supuestos Generales'!$B$94=1,'Supuestos Generales'!$B$88,'Supuestos Generales'!$B$89)</f>
        <v/>
      </c>
      <c r="CQ194">
        <f>'Supuestos Generales'!$B$91</f>
        <v/>
      </c>
      <c r="CR194" s="497">
        <f>'Supuestos Generales'!$B$90</f>
        <v/>
      </c>
      <c r="CS194">
        <f>'Supuestos Generales'!$B$93</f>
        <v/>
      </c>
      <c r="CT194" s="216">
        <f>'Supuestos Generales'!$B$113</f>
        <v/>
      </c>
      <c r="CU194">
        <f>'Supuestos Generales'!$B$114</f>
        <v/>
      </c>
      <c r="CV194">
        <f>'Supuestos Generales'!$B$66</f>
        <v/>
      </c>
      <c r="CW194">
        <f>SUM('Supuestos Generales'!$B$118:$B$124)</f>
        <v/>
      </c>
      <c r="CX194">
        <f>'Supuestos Generales'!$B$126</f>
        <v/>
      </c>
      <c r="CY194">
        <f>'Supuestos Generales'!$B$85</f>
        <v/>
      </c>
      <c r="CZ194">
        <f>'Supuestos Generales'!$B$38</f>
        <v/>
      </c>
      <c r="DA194">
        <f>'Supuestos Generales'!$B$37</f>
        <v/>
      </c>
      <c r="DB194">
        <f>'Supuestos Generales'!$B$24</f>
        <v/>
      </c>
      <c r="DC194">
        <f>'Supuestos Generales'!$B$25</f>
        <v/>
      </c>
      <c r="DD194">
        <f>'Supuestos Generales'!$B$29</f>
        <v/>
      </c>
      <c r="DE194">
        <f>CHOOSE($BJ$194,Escenarios!$D$40,Escenarios!$E$40,Escenarios!$F$40)</f>
        <v/>
      </c>
      <c r="DF194" t="inlineStr">
        <is>
          <t>5 (Coca-Cola + ACODRES + Bavaria + FEMSA + CC Florida)</t>
        </is>
      </c>
      <c r="DG194">
        <f>INDEX(B200:BI200,60)</f>
        <v/>
      </c>
      <c r="DH194">
        <f>SUM(B208:BI208)</f>
        <v/>
      </c>
      <c r="DI194">
        <f>SUM(B213:BI213)</f>
        <v/>
      </c>
      <c r="DJ194">
        <f>DH194-DI194</f>
        <v/>
      </c>
      <c r="DK194">
        <f>SUM(B217:BI217)</f>
        <v/>
      </c>
      <c r="DL194">
        <f>SUM(B218:BI218)</f>
        <v/>
      </c>
      <c r="DM194">
        <f>INDEX(B219:BI219,60)</f>
        <v/>
      </c>
      <c r="DN194">
        <f>(INDEX(B208:BI208,60)-INDEX(B204:BI204,60))*12</f>
        <v/>
      </c>
      <c r="DO194">
        <f>SUM(B217:M217)</f>
        <v/>
      </c>
      <c r="DP194">
        <f>SUM(AX217:BI217)</f>
        <v/>
      </c>
    </row>
    <row r="195" hidden="1" outlineLevel="2">
      <c r="A195" t="inlineStr">
        <is>
          <t>Direct New</t>
        </is>
      </c>
      <c r="B195">
        <f t="array" ref="B195:BI195">_xlfn.LET(_xlpm.m,_xlfn.SEQUENCE(1,60),IF(_xlpm.m&lt;='Supuestos Generales'!$C$12,$BK$194,IF(_xlpm.m&lt;='Supuestos Generales'!$C$13,$BL$194,IF(_xlpm.m&lt;='Supuestos Generales'!$C$14,$BM$194,IF(_xlpm.m&lt;='Supuestos Generales'!$C$15,$BN$194,$BO$194)))))</f>
        <v/>
      </c>
      <c r="C195" t="n">
        <v>3</v>
      </c>
      <c r="D195" t="n">
        <v>3</v>
      </c>
      <c r="E195" t="n">
        <v>6</v>
      </c>
      <c r="F195" t="n">
        <v>6</v>
      </c>
      <c r="G195" t="n">
        <v>6</v>
      </c>
      <c r="H195" t="n">
        <v>10</v>
      </c>
      <c r="I195" t="n">
        <v>10</v>
      </c>
      <c r="J195" t="n">
        <v>10</v>
      </c>
      <c r="K195" t="n">
        <v>10</v>
      </c>
      <c r="L195" t="n">
        <v>10</v>
      </c>
      <c r="M195" t="n">
        <v>10</v>
      </c>
      <c r="N195" t="n">
        <v>18</v>
      </c>
      <c r="O195" t="n">
        <v>18</v>
      </c>
      <c r="P195" t="n">
        <v>18</v>
      </c>
      <c r="Q195" t="n">
        <v>18</v>
      </c>
      <c r="R195" t="n">
        <v>18</v>
      </c>
      <c r="S195" t="n">
        <v>18</v>
      </c>
      <c r="T195" t="n">
        <v>18</v>
      </c>
      <c r="U195" t="n">
        <v>18</v>
      </c>
      <c r="V195" t="n">
        <v>18</v>
      </c>
      <c r="W195" t="n">
        <v>18</v>
      </c>
      <c r="X195" t="n">
        <v>18</v>
      </c>
      <c r="Y195" t="n">
        <v>18</v>
      </c>
      <c r="Z195" t="n">
        <v>27</v>
      </c>
      <c r="AA195" t="n">
        <v>27</v>
      </c>
      <c r="AB195" t="n">
        <v>27</v>
      </c>
      <c r="AC195" t="n">
        <v>27</v>
      </c>
      <c r="AD195" t="n">
        <v>27</v>
      </c>
      <c r="AE195" t="n">
        <v>27</v>
      </c>
      <c r="AF195" t="n">
        <v>27</v>
      </c>
      <c r="AG195" t="n">
        <v>27</v>
      </c>
      <c r="AH195" t="n">
        <v>27</v>
      </c>
      <c r="AI195" t="n">
        <v>27</v>
      </c>
      <c r="AJ195" t="n">
        <v>27</v>
      </c>
      <c r="AK195" t="n">
        <v>27</v>
      </c>
      <c r="AL195" t="n">
        <v>27</v>
      </c>
      <c r="AM195" t="n">
        <v>27</v>
      </c>
      <c r="AN195" t="n">
        <v>27</v>
      </c>
      <c r="AO195" t="n">
        <v>27</v>
      </c>
      <c r="AP195" t="n">
        <v>27</v>
      </c>
      <c r="AQ195" t="n">
        <v>27</v>
      </c>
      <c r="AR195" t="n">
        <v>27</v>
      </c>
      <c r="AS195" t="n">
        <v>27</v>
      </c>
      <c r="AT195" t="n">
        <v>27</v>
      </c>
      <c r="AU195" t="n">
        <v>27</v>
      </c>
      <c r="AV195" t="n">
        <v>27</v>
      </c>
      <c r="AW195" t="n">
        <v>27</v>
      </c>
      <c r="AX195" t="n">
        <v>27</v>
      </c>
      <c r="AY195" t="n">
        <v>27</v>
      </c>
      <c r="AZ195" t="n">
        <v>27</v>
      </c>
      <c r="BA195" t="n">
        <v>27</v>
      </c>
      <c r="BB195" t="n">
        <v>27</v>
      </c>
      <c r="BC195" t="n">
        <v>27</v>
      </c>
      <c r="BD195" t="n">
        <v>27</v>
      </c>
      <c r="BE195" t="n">
        <v>27</v>
      </c>
      <c r="BF195" t="n">
        <v>27</v>
      </c>
      <c r="BG195" t="n">
        <v>27</v>
      </c>
      <c r="BH195" t="n">
        <v>27</v>
      </c>
      <c r="BI195" t="n">
        <v>27</v>
      </c>
    </row>
    <row r="196" hidden="1" outlineLevel="2">
      <c r="A196" t="inlineStr">
        <is>
          <t>Referral m-1</t>
        </is>
      </c>
      <c r="B196">
        <f t="array" ref="B196:BI196">_xlfn.HSTACK(0,_xlfn.TAKE(_xlfn.ANCHORARRAY(B195)+_xlfn.ANCHORARRAY(B198),,59)*$CQ$194/2)</f>
        <v/>
      </c>
      <c r="C196" t="n">
        <v>3</v>
      </c>
      <c r="D196" t="n">
        <v>3</v>
      </c>
      <c r="E196" t="n">
        <v>3</v>
      </c>
      <c r="F196" t="n">
        <v>6</v>
      </c>
      <c r="G196" t="n">
        <v>6</v>
      </c>
      <c r="H196" t="n">
        <v>12</v>
      </c>
      <c r="I196" t="n">
        <v>22</v>
      </c>
      <c r="J196" t="n">
        <v>28</v>
      </c>
      <c r="K196" t="n">
        <v>34</v>
      </c>
      <c r="L196" t="n">
        <v>40</v>
      </c>
      <c r="M196" t="n">
        <v>46</v>
      </c>
      <c r="N196" t="n">
        <v>53</v>
      </c>
      <c r="O196" t="n">
        <v>70</v>
      </c>
      <c r="P196" t="n">
        <v>79</v>
      </c>
      <c r="Q196" t="n">
        <v>88</v>
      </c>
      <c r="R196" t="n">
        <v>97</v>
      </c>
      <c r="S196" t="n">
        <v>106</v>
      </c>
      <c r="T196" t="n">
        <v>108</v>
      </c>
      <c r="U196" t="n">
        <v>111</v>
      </c>
      <c r="V196" t="n">
        <v>114</v>
      </c>
      <c r="W196" t="n">
        <v>117</v>
      </c>
      <c r="X196" t="n">
        <v>120</v>
      </c>
      <c r="Y196" t="n">
        <v>123</v>
      </c>
      <c r="Z196" t="n">
        <v>126</v>
      </c>
      <c r="AA196" t="n">
        <v>138</v>
      </c>
      <c r="AB196" t="n">
        <v>141</v>
      </c>
      <c r="AC196" t="n">
        <v>144</v>
      </c>
      <c r="AD196" t="n">
        <v>147</v>
      </c>
      <c r="AE196" t="n">
        <v>150</v>
      </c>
      <c r="AF196" t="n">
        <v>152</v>
      </c>
      <c r="AG196" t="n">
        <v>155</v>
      </c>
      <c r="AH196" t="n">
        <v>158</v>
      </c>
      <c r="AI196" t="n">
        <v>161</v>
      </c>
      <c r="AJ196" t="n">
        <v>164</v>
      </c>
      <c r="AK196" t="n">
        <v>167</v>
      </c>
      <c r="AL196" t="n">
        <v>168</v>
      </c>
      <c r="AM196" t="n">
        <v>170</v>
      </c>
      <c r="AN196" t="n">
        <v>171</v>
      </c>
      <c r="AO196" t="n">
        <v>172</v>
      </c>
      <c r="AP196" t="n">
        <v>173</v>
      </c>
      <c r="AQ196" t="n">
        <v>175</v>
      </c>
      <c r="AR196" t="n">
        <v>176</v>
      </c>
      <c r="AS196" t="n">
        <v>177</v>
      </c>
      <c r="AT196" t="n">
        <v>178</v>
      </c>
      <c r="AU196" t="n">
        <v>180</v>
      </c>
      <c r="AV196" t="n">
        <v>181</v>
      </c>
      <c r="AW196" t="n">
        <v>182</v>
      </c>
      <c r="AX196" t="n">
        <v>182</v>
      </c>
      <c r="AY196" t="n">
        <v>182</v>
      </c>
      <c r="AZ196" t="n">
        <v>182</v>
      </c>
      <c r="BA196" t="n">
        <v>182</v>
      </c>
      <c r="BB196" t="n">
        <v>182</v>
      </c>
      <c r="BC196" t="n">
        <v>182</v>
      </c>
      <c r="BD196" t="n">
        <v>182</v>
      </c>
      <c r="BE196" t="n">
        <v>182</v>
      </c>
      <c r="BF196" t="n">
        <v>182</v>
      </c>
      <c r="BG196" t="n">
        <v>182</v>
      </c>
      <c r="BH196" t="n">
        <v>182</v>
      </c>
      <c r="BI196" t="n">
        <v>182</v>
      </c>
    </row>
    <row r="197" hidden="1" outlineLevel="2">
      <c r="A197" t="inlineStr">
        <is>
          <t>Referral m-2</t>
        </is>
      </c>
      <c r="B197">
        <f t="array" ref="B197:BI197">_xlfn.HSTACK(0,0,_xlfn.TAKE(_xlfn.ANCHORARRAY(B195)+_xlfn.ANCHORARRAY(B198),,58)*$CQ$194/2)</f>
        <v/>
      </c>
      <c r="C197" t="n">
        <v>0</v>
      </c>
      <c r="D197" t="n">
        <v>3</v>
      </c>
      <c r="E197" t="n">
        <v>3</v>
      </c>
      <c r="F197" t="n">
        <v>3</v>
      </c>
      <c r="G197" t="n">
        <v>6</v>
      </c>
      <c r="H197" t="n">
        <v>6</v>
      </c>
      <c r="I197" t="n">
        <v>12</v>
      </c>
      <c r="J197" t="n">
        <v>22</v>
      </c>
      <c r="K197" t="n">
        <v>28</v>
      </c>
      <c r="L197" t="n">
        <v>34</v>
      </c>
      <c r="M197" t="n">
        <v>40</v>
      </c>
      <c r="N197" t="n">
        <v>46</v>
      </c>
      <c r="O197" t="n">
        <v>53</v>
      </c>
      <c r="P197" t="n">
        <v>70</v>
      </c>
      <c r="Q197" t="n">
        <v>79</v>
      </c>
      <c r="R197" t="n">
        <v>88</v>
      </c>
      <c r="S197" t="n">
        <v>97</v>
      </c>
      <c r="T197" t="n">
        <v>106</v>
      </c>
      <c r="U197" t="n">
        <v>108</v>
      </c>
      <c r="V197" t="n">
        <v>111</v>
      </c>
      <c r="W197" t="n">
        <v>114</v>
      </c>
      <c r="X197" t="n">
        <v>117</v>
      </c>
      <c r="Y197" t="n">
        <v>120</v>
      </c>
      <c r="Z197" t="n">
        <v>123</v>
      </c>
      <c r="AA197" t="n">
        <v>126</v>
      </c>
      <c r="AB197" t="n">
        <v>138</v>
      </c>
      <c r="AC197" t="n">
        <v>141</v>
      </c>
      <c r="AD197" t="n">
        <v>144</v>
      </c>
      <c r="AE197" t="n">
        <v>147</v>
      </c>
      <c r="AF197" t="n">
        <v>150</v>
      </c>
      <c r="AG197" t="n">
        <v>152</v>
      </c>
      <c r="AH197" t="n">
        <v>155</v>
      </c>
      <c r="AI197" t="n">
        <v>158</v>
      </c>
      <c r="AJ197" t="n">
        <v>161</v>
      </c>
      <c r="AK197" t="n">
        <v>164</v>
      </c>
      <c r="AL197" t="n">
        <v>167</v>
      </c>
      <c r="AM197" t="n">
        <v>168</v>
      </c>
      <c r="AN197" t="n">
        <v>170</v>
      </c>
      <c r="AO197" t="n">
        <v>171</v>
      </c>
      <c r="AP197" t="n">
        <v>172</v>
      </c>
      <c r="AQ197" t="n">
        <v>173</v>
      </c>
      <c r="AR197" t="n">
        <v>175</v>
      </c>
      <c r="AS197" t="n">
        <v>176</v>
      </c>
      <c r="AT197" t="n">
        <v>177</v>
      </c>
      <c r="AU197" t="n">
        <v>178</v>
      </c>
      <c r="AV197" t="n">
        <v>180</v>
      </c>
      <c r="AW197" t="n">
        <v>181</v>
      </c>
      <c r="AX197" t="n">
        <v>182</v>
      </c>
      <c r="AY197" t="n">
        <v>182</v>
      </c>
      <c r="AZ197" t="n">
        <v>182</v>
      </c>
      <c r="BA197" t="n">
        <v>182</v>
      </c>
      <c r="BB197" t="n">
        <v>182</v>
      </c>
      <c r="BC197" t="n">
        <v>182</v>
      </c>
      <c r="BD197" t="n">
        <v>182</v>
      </c>
      <c r="BE197" t="n">
        <v>182</v>
      </c>
      <c r="BF197" t="n">
        <v>182</v>
      </c>
      <c r="BG197" t="n">
        <v>182</v>
      </c>
      <c r="BH197" t="n">
        <v>182</v>
      </c>
      <c r="BI197" t="n">
        <v>182</v>
      </c>
    </row>
    <row r="198" hidden="1" outlineLevel="2">
      <c r="A198" t="inlineStr">
        <is>
          <t>Alliance New</t>
        </is>
      </c>
      <c r="B198">
        <f t="array" ref="B198:BI198">_xlfn.LET(_xlpm.m,_xlfn.SEQUENCE(1,60),IF(($CF$194=1)*(_xlpm.m&gt;=Palancas!$B$15),IF(ROUND($CK$194*(_xlpm.m-Palancas!$B$15+1)/$CM$194,0)&lt;$CK$194,ROUND($CK$194*(_xlpm.m-Palancas!$B$15+1)/$CM$194,0),$CK$194),0)+IF(($CG$194=1)*(_xlpm.m&gt;=Palancas!$F$15),IF(ROUND($CK$194*(_xlpm.m-Palancas!$F$15+1)/$CM$194,0)&lt;$CK$194,ROUND($CK$194*(_xlpm.m-Palancas!$F$15+1)/$CM$194,0),$CK$194),0)+IF(($CH$194=1)*(_xlpm.m&gt;=Palancas!$B$23),IF(ROUND($CK$194*(_xlpm.m-Palancas!$B$23+1)/$CM$194,0)&lt;$CK$194,ROUND($CK$194*(_xlpm.m-Palancas!$B$23+1)/$CM$194,0),$CK$194),0)+IF(($CI$194=1)*(_xlpm.m&gt;=Palancas!$F$23),IF(ROUND($CK$194*(_xlpm.m-Palancas!$F$23+1)/$CM$194,0)&lt;$CK$194,ROUND($CK$194*(_xlpm.m-Palancas!$F$23+1)/$CM$194,0),$CK$194),0)+IF(($CJ$194=1)*(_xlpm.m&gt;=Palancas!$B$31)*(_xlpm.m&lt;=MIN(60,Palancas!$B$31+CEILING(Palancas!$B$30/$CL$194,1)-1)),IF(ROUND($CL$194*(_xlpm.m-Palancas!$B$31+1)/$CM$194,0)&lt;$CL$194,ROUND($CL$194*(_xlpm.m-Palancas!$B$31+1)/$CM$194,0),$CL$194),0))</f>
        <v/>
      </c>
      <c r="C198" t="n">
        <v>0</v>
      </c>
      <c r="D198" t="n">
        <v>0</v>
      </c>
      <c r="E198" t="n">
        <v>0</v>
      </c>
      <c r="F198" t="n">
        <v>0</v>
      </c>
      <c r="G198" t="n">
        <v>6</v>
      </c>
      <c r="H198" t="n">
        <v>12</v>
      </c>
      <c r="I198" t="n">
        <v>18</v>
      </c>
      <c r="J198" t="n">
        <v>24</v>
      </c>
      <c r="K198" t="n">
        <v>30</v>
      </c>
      <c r="L198" t="n">
        <v>36</v>
      </c>
      <c r="M198" t="n">
        <v>43</v>
      </c>
      <c r="N198" t="n">
        <v>52</v>
      </c>
      <c r="O198" t="n">
        <v>61</v>
      </c>
      <c r="P198" t="n">
        <v>70</v>
      </c>
      <c r="Q198" t="n">
        <v>79</v>
      </c>
      <c r="R198" t="n">
        <v>88</v>
      </c>
      <c r="S198" t="n">
        <v>90</v>
      </c>
      <c r="T198" t="n">
        <v>93</v>
      </c>
      <c r="U198" t="n">
        <v>96</v>
      </c>
      <c r="V198" t="n">
        <v>99</v>
      </c>
      <c r="W198" t="n">
        <v>102</v>
      </c>
      <c r="X198" t="n">
        <v>105</v>
      </c>
      <c r="Y198" t="n">
        <v>108</v>
      </c>
      <c r="Z198" t="n">
        <v>111</v>
      </c>
      <c r="AA198" t="n">
        <v>114</v>
      </c>
      <c r="AB198" t="n">
        <v>117</v>
      </c>
      <c r="AC198" t="n">
        <v>120</v>
      </c>
      <c r="AD198" t="n">
        <v>123</v>
      </c>
      <c r="AE198" t="n">
        <v>125</v>
      </c>
      <c r="AF198" t="n">
        <v>128</v>
      </c>
      <c r="AG198" t="n">
        <v>131</v>
      </c>
      <c r="AH198" t="n">
        <v>134</v>
      </c>
      <c r="AI198" t="n">
        <v>137</v>
      </c>
      <c r="AJ198" t="n">
        <v>140</v>
      </c>
      <c r="AK198" t="n">
        <v>141</v>
      </c>
      <c r="AL198" t="n">
        <v>143</v>
      </c>
      <c r="AM198" t="n">
        <v>144</v>
      </c>
      <c r="AN198" t="n">
        <v>145</v>
      </c>
      <c r="AO198" t="n">
        <v>146</v>
      </c>
      <c r="AP198" t="n">
        <v>148</v>
      </c>
      <c r="AQ198" t="n">
        <v>149</v>
      </c>
      <c r="AR198" t="n">
        <v>150</v>
      </c>
      <c r="AS198" t="n">
        <v>151</v>
      </c>
      <c r="AT198" t="n">
        <v>153</v>
      </c>
      <c r="AU198" t="n">
        <v>154</v>
      </c>
      <c r="AV198" t="n">
        <v>155</v>
      </c>
      <c r="AW198" t="n">
        <v>155</v>
      </c>
      <c r="AX198" t="n">
        <v>155</v>
      </c>
      <c r="AY198" t="n">
        <v>155</v>
      </c>
      <c r="AZ198" t="n">
        <v>155</v>
      </c>
      <c r="BA198" t="n">
        <v>155</v>
      </c>
      <c r="BB198" t="n">
        <v>155</v>
      </c>
      <c r="BC198" t="n">
        <v>155</v>
      </c>
      <c r="BD198" t="n">
        <v>155</v>
      </c>
      <c r="BE198" t="n">
        <v>155</v>
      </c>
      <c r="BF198" t="n">
        <v>155</v>
      </c>
      <c r="BG198" t="n">
        <v>155</v>
      </c>
      <c r="BH198" t="n">
        <v>155</v>
      </c>
      <c r="BI198" t="n">
        <v>155</v>
      </c>
    </row>
    <row r="199" hidden="1" outlineLevel="2">
      <c r="A199" t="inlineStr">
        <is>
          <t>Total New</t>
        </is>
      </c>
      <c r="B199">
        <f t="array" ref="B199:BI199">_xlfn.ANCHORARRAY(B195)+_xlfn.ANCHORARRAY(B196)+_xlfn.ANCHORARRAY(B197)+_xlfn.ANCHORARRAY(B198)</f>
        <v/>
      </c>
      <c r="C199" t="n">
        <v>6</v>
      </c>
      <c r="D199" t="n">
        <v>9</v>
      </c>
      <c r="E199" t="n">
        <v>12</v>
      </c>
      <c r="F199" t="n">
        <v>15</v>
      </c>
      <c r="G199" t="n">
        <v>24</v>
      </c>
      <c r="H199" t="n">
        <v>40</v>
      </c>
      <c r="I199" t="n">
        <v>62</v>
      </c>
      <c r="J199" t="n">
        <v>84</v>
      </c>
      <c r="K199" t="n">
        <v>102</v>
      </c>
      <c r="L199" t="n">
        <v>120</v>
      </c>
      <c r="M199" t="n">
        <v>139</v>
      </c>
      <c r="N199" t="n">
        <v>169</v>
      </c>
      <c r="O199" t="n">
        <v>202</v>
      </c>
      <c r="P199" t="n">
        <v>237</v>
      </c>
      <c r="Q199" t="n">
        <v>264</v>
      </c>
      <c r="R199" t="n">
        <v>291</v>
      </c>
      <c r="S199" t="n">
        <v>311</v>
      </c>
      <c r="T199" t="n">
        <v>325</v>
      </c>
      <c r="U199" t="n">
        <v>333</v>
      </c>
      <c r="V199" t="n">
        <v>342</v>
      </c>
      <c r="W199" t="n">
        <v>351</v>
      </c>
      <c r="X199" t="n">
        <v>360</v>
      </c>
      <c r="Y199" t="n">
        <v>369</v>
      </c>
      <c r="Z199" t="n">
        <v>387</v>
      </c>
      <c r="AA199" t="n">
        <v>405</v>
      </c>
      <c r="AB199" t="n">
        <v>423</v>
      </c>
      <c r="AC199" t="n">
        <v>432</v>
      </c>
      <c r="AD199" t="n">
        <v>441</v>
      </c>
      <c r="AE199" t="n">
        <v>449</v>
      </c>
      <c r="AF199" t="n">
        <v>457</v>
      </c>
      <c r="AG199" t="n">
        <v>465</v>
      </c>
      <c r="AH199" t="n">
        <v>474</v>
      </c>
      <c r="AI199" t="n">
        <v>483</v>
      </c>
      <c r="AJ199" t="n">
        <v>492</v>
      </c>
      <c r="AK199" t="n">
        <v>499</v>
      </c>
      <c r="AL199" t="n">
        <v>505</v>
      </c>
      <c r="AM199" t="n">
        <v>509</v>
      </c>
      <c r="AN199" t="n">
        <v>513</v>
      </c>
      <c r="AO199" t="n">
        <v>516</v>
      </c>
      <c r="AP199" t="n">
        <v>520</v>
      </c>
      <c r="AQ199" t="n">
        <v>524</v>
      </c>
      <c r="AR199" t="n">
        <v>528</v>
      </c>
      <c r="AS199" t="n">
        <v>531</v>
      </c>
      <c r="AT199" t="n">
        <v>535</v>
      </c>
      <c r="AU199" t="n">
        <v>539</v>
      </c>
      <c r="AV199" t="n">
        <v>543</v>
      </c>
      <c r="AW199" t="n">
        <v>545</v>
      </c>
      <c r="AX199" t="n">
        <v>546</v>
      </c>
      <c r="AY199" t="n">
        <v>546</v>
      </c>
      <c r="AZ199" t="n">
        <v>546</v>
      </c>
      <c r="BA199" t="n">
        <v>546</v>
      </c>
      <c r="BB199" t="n">
        <v>546</v>
      </c>
      <c r="BC199" t="n">
        <v>546</v>
      </c>
      <c r="BD199" t="n">
        <v>546</v>
      </c>
      <c r="BE199" t="n">
        <v>546</v>
      </c>
      <c r="BF199" t="n">
        <v>546</v>
      </c>
      <c r="BG199" t="n">
        <v>546</v>
      </c>
      <c r="BH199" t="n">
        <v>546</v>
      </c>
      <c r="BI199" t="n">
        <v>546</v>
      </c>
    </row>
    <row r="200" hidden="1" outlineLevel="2">
      <c r="A200" t="inlineStr">
        <is>
          <t>Active Restaurants</t>
        </is>
      </c>
      <c r="B200">
        <f t="array" ref="B200:BI200">_xlfn.LET(_xlpm.n,_xlfn.ANCHORARRAY(B199),_xlpm.ch,$BQ$194,_xlfn.SCAN(0,_xlpm.n,_xlfn.LAMBDA(_xlpm.prev,_xlpm.new,_xlpm.prev+_xlpm.new-ROUND(_xlpm.prev*_xlpm.ch,0))))</f>
        <v/>
      </c>
      <c r="C200" t="n">
        <v>9</v>
      </c>
      <c r="D200" t="n">
        <v>18</v>
      </c>
      <c r="E200" t="n">
        <v>30</v>
      </c>
      <c r="F200" t="n">
        <v>44</v>
      </c>
      <c r="G200" t="n">
        <v>67</v>
      </c>
      <c r="H200" t="n">
        <v>106</v>
      </c>
      <c r="I200" t="n">
        <v>166</v>
      </c>
      <c r="J200" t="n">
        <v>247</v>
      </c>
      <c r="K200" t="n">
        <v>344</v>
      </c>
      <c r="L200" t="n">
        <v>457</v>
      </c>
      <c r="M200" t="n">
        <v>587</v>
      </c>
      <c r="N200" t="n">
        <v>744</v>
      </c>
      <c r="O200" t="n">
        <v>931</v>
      </c>
      <c r="P200" t="n">
        <v>1149</v>
      </c>
      <c r="Q200" t="n">
        <v>1390</v>
      </c>
      <c r="R200" t="n">
        <v>1653</v>
      </c>
      <c r="S200" t="n">
        <v>1931</v>
      </c>
      <c r="T200" t="n">
        <v>2217</v>
      </c>
      <c r="U200" t="n">
        <v>2506</v>
      </c>
      <c r="V200" t="n">
        <v>2798</v>
      </c>
      <c r="W200" t="n">
        <v>3093</v>
      </c>
      <c r="X200" t="n">
        <v>3391</v>
      </c>
      <c r="Y200" t="n">
        <v>3692</v>
      </c>
      <c r="Z200" t="n">
        <v>4005</v>
      </c>
      <c r="AA200" t="n">
        <v>4330</v>
      </c>
      <c r="AB200" t="n">
        <v>4666</v>
      </c>
      <c r="AC200" t="n">
        <v>5005</v>
      </c>
      <c r="AD200" t="n">
        <v>5346</v>
      </c>
      <c r="AE200" t="n">
        <v>5688</v>
      </c>
      <c r="AF200" t="n">
        <v>6031</v>
      </c>
      <c r="AG200" t="n">
        <v>6375</v>
      </c>
      <c r="AH200" t="n">
        <v>6721</v>
      </c>
      <c r="AI200" t="n">
        <v>7070</v>
      </c>
      <c r="AJ200" t="n">
        <v>7421</v>
      </c>
      <c r="AK200" t="n">
        <v>7772</v>
      </c>
      <c r="AL200" t="n">
        <v>8122</v>
      </c>
      <c r="AM200" t="n">
        <v>8469</v>
      </c>
      <c r="AN200" t="n">
        <v>8813</v>
      </c>
      <c r="AO200" t="n">
        <v>9153</v>
      </c>
      <c r="AP200" t="n">
        <v>9490</v>
      </c>
      <c r="AQ200" t="n">
        <v>9824</v>
      </c>
      <c r="AR200" t="n">
        <v>10156</v>
      </c>
      <c r="AS200" t="n">
        <v>10484</v>
      </c>
      <c r="AT200" t="n">
        <v>10809</v>
      </c>
      <c r="AU200" t="n">
        <v>11132</v>
      </c>
      <c r="AV200" t="n">
        <v>11452</v>
      </c>
      <c r="AW200" t="n">
        <v>11768</v>
      </c>
      <c r="AX200" t="n">
        <v>12079</v>
      </c>
      <c r="AY200" t="n">
        <v>12383</v>
      </c>
      <c r="AZ200" t="n">
        <v>12681</v>
      </c>
      <c r="BA200" t="n">
        <v>12973</v>
      </c>
      <c r="BB200" t="n">
        <v>13260</v>
      </c>
      <c r="BC200" t="n">
        <v>13541</v>
      </c>
      <c r="BD200" t="n">
        <v>13816</v>
      </c>
      <c r="BE200" t="n">
        <v>14086</v>
      </c>
      <c r="BF200" t="n">
        <v>14350</v>
      </c>
      <c r="BG200" t="n">
        <v>14609</v>
      </c>
      <c r="BH200" t="n">
        <v>14863</v>
      </c>
      <c r="BI200" t="n">
        <v>15112</v>
      </c>
    </row>
    <row r="201" hidden="1" outlineLevel="2">
      <c r="A201" t="inlineStr">
        <is>
          <t>Churn</t>
        </is>
      </c>
      <c r="B201">
        <f t="array" ref="B201:BI201">_xlfn.HSTACK(0,ROUND(_xlfn.TAKE(_xlfn.ANCHORARRAY(B200),,59)*$BQ$194,0))</f>
        <v/>
      </c>
      <c r="C201" t="n">
        <v>0</v>
      </c>
      <c r="D201" t="n">
        <v>0</v>
      </c>
      <c r="E201" t="n">
        <v>0</v>
      </c>
      <c r="F201" t="n">
        <v>1</v>
      </c>
      <c r="G201" t="n">
        <v>1</v>
      </c>
      <c r="H201" t="n">
        <v>1</v>
      </c>
      <c r="I201" t="n">
        <v>2</v>
      </c>
      <c r="J201" t="n">
        <v>3</v>
      </c>
      <c r="K201" t="n">
        <v>5</v>
      </c>
      <c r="L201" t="n">
        <v>7</v>
      </c>
      <c r="M201" t="n">
        <v>9</v>
      </c>
      <c r="N201" t="n">
        <v>12</v>
      </c>
      <c r="O201" t="n">
        <v>15</v>
      </c>
      <c r="P201" t="n">
        <v>19</v>
      </c>
      <c r="Q201" t="n">
        <v>23</v>
      </c>
      <c r="R201" t="n">
        <v>28</v>
      </c>
      <c r="S201" t="n">
        <v>33</v>
      </c>
      <c r="T201" t="n">
        <v>39</v>
      </c>
      <c r="U201" t="n">
        <v>44</v>
      </c>
      <c r="V201" t="n">
        <v>50</v>
      </c>
      <c r="W201" t="n">
        <v>56</v>
      </c>
      <c r="X201" t="n">
        <v>62</v>
      </c>
      <c r="Y201" t="n">
        <v>68</v>
      </c>
      <c r="Z201" t="n">
        <v>74</v>
      </c>
      <c r="AA201" t="n">
        <v>80</v>
      </c>
      <c r="AB201" t="n">
        <v>87</v>
      </c>
      <c r="AC201" t="n">
        <v>93</v>
      </c>
      <c r="AD201" t="n">
        <v>100</v>
      </c>
      <c r="AE201" t="n">
        <v>107</v>
      </c>
      <c r="AF201" t="n">
        <v>114</v>
      </c>
      <c r="AG201" t="n">
        <v>121</v>
      </c>
      <c r="AH201" t="n">
        <v>128</v>
      </c>
      <c r="AI201" t="n">
        <v>134</v>
      </c>
      <c r="AJ201" t="n">
        <v>141</v>
      </c>
      <c r="AK201" t="n">
        <v>148</v>
      </c>
      <c r="AL201" t="n">
        <v>155</v>
      </c>
      <c r="AM201" t="n">
        <v>162</v>
      </c>
      <c r="AN201" t="n">
        <v>169</v>
      </c>
      <c r="AO201" t="n">
        <v>176</v>
      </c>
      <c r="AP201" t="n">
        <v>183</v>
      </c>
      <c r="AQ201" t="n">
        <v>190</v>
      </c>
      <c r="AR201" t="n">
        <v>196</v>
      </c>
      <c r="AS201" t="n">
        <v>203</v>
      </c>
      <c r="AT201" t="n">
        <v>210</v>
      </c>
      <c r="AU201" t="n">
        <v>216</v>
      </c>
      <c r="AV201" t="n">
        <v>223</v>
      </c>
      <c r="AW201" t="n">
        <v>229</v>
      </c>
      <c r="AX201" t="n">
        <v>235</v>
      </c>
      <c r="AY201" t="n">
        <v>242</v>
      </c>
      <c r="AZ201" t="n">
        <v>248</v>
      </c>
      <c r="BA201" t="n">
        <v>254</v>
      </c>
      <c r="BB201" t="n">
        <v>259</v>
      </c>
      <c r="BC201" t="n">
        <v>265</v>
      </c>
      <c r="BD201" t="n">
        <v>271</v>
      </c>
      <c r="BE201" t="n">
        <v>276</v>
      </c>
      <c r="BF201" t="n">
        <v>282</v>
      </c>
      <c r="BG201" t="n">
        <v>287</v>
      </c>
      <c r="BH201" t="n">
        <v>292</v>
      </c>
      <c r="BI201" t="n">
        <v>297</v>
      </c>
    </row>
    <row r="202" hidden="1" outlineLevel="2">
      <c r="A202" t="inlineStr">
        <is>
          <t>Active Waiters</t>
        </is>
      </c>
      <c r="B202">
        <f t="array" ref="B202:BI202">_xlfn.ANCHORARRAY(B200)*$BP$194*$BR$194</f>
        <v/>
      </c>
      <c r="C202" t="n">
        <v>109.0125</v>
      </c>
      <c r="D202" t="n">
        <v>218.025</v>
      </c>
      <c r="E202" t="n">
        <v>363.375</v>
      </c>
      <c r="F202" t="n">
        <v>532.9499999999999</v>
      </c>
      <c r="G202" t="n">
        <v>811.5374999999999</v>
      </c>
      <c r="H202" t="n">
        <v>1283.925</v>
      </c>
      <c r="I202" t="n">
        <v>2010.675</v>
      </c>
      <c r="J202" t="n">
        <v>2991.7875</v>
      </c>
      <c r="K202" t="n">
        <v>4166.7</v>
      </c>
      <c r="L202" t="n">
        <v>5535.412499999999</v>
      </c>
      <c r="M202" t="n">
        <v>7110.037499999999</v>
      </c>
      <c r="N202" t="n">
        <v>9011.699999999999</v>
      </c>
      <c r="O202" t="n">
        <v>11276.7375</v>
      </c>
      <c r="P202" t="n">
        <v>13917.2625</v>
      </c>
      <c r="Q202" t="n">
        <v>16836.375</v>
      </c>
      <c r="R202" t="n">
        <v>20021.9625</v>
      </c>
      <c r="S202" t="n">
        <v>23389.2375</v>
      </c>
      <c r="T202" t="n">
        <v>26853.4125</v>
      </c>
      <c r="U202" t="n">
        <v>30353.925</v>
      </c>
      <c r="V202" t="n">
        <v>33890.775</v>
      </c>
      <c r="W202" t="n">
        <v>37463.9625</v>
      </c>
      <c r="X202" t="n">
        <v>41073.4875</v>
      </c>
      <c r="Y202" t="n">
        <v>44719.35</v>
      </c>
      <c r="Z202" t="n">
        <v>48510.5625</v>
      </c>
      <c r="AA202" t="n">
        <v>52447.125</v>
      </c>
      <c r="AB202" t="n">
        <v>56516.925</v>
      </c>
      <c r="AC202" t="n">
        <v>60623.0625</v>
      </c>
      <c r="AD202" t="n">
        <v>64753.425</v>
      </c>
      <c r="AE202" t="n">
        <v>68895.89999999999</v>
      </c>
      <c r="AF202" t="n">
        <v>73050.4875</v>
      </c>
      <c r="AG202" t="n">
        <v>77217.1875</v>
      </c>
      <c r="AH202" t="n">
        <v>81408.1125</v>
      </c>
      <c r="AI202" t="n">
        <v>85635.375</v>
      </c>
      <c r="AJ202" t="n">
        <v>89886.8625</v>
      </c>
      <c r="AK202" t="n">
        <v>94138.34999999999</v>
      </c>
      <c r="AL202" t="n">
        <v>98377.72499999999</v>
      </c>
      <c r="AM202" t="n">
        <v>102580.7625</v>
      </c>
      <c r="AN202" t="n">
        <v>106747.4625</v>
      </c>
      <c r="AO202" t="n">
        <v>110865.7125</v>
      </c>
      <c r="AP202" t="n">
        <v>114947.625</v>
      </c>
      <c r="AQ202" t="n">
        <v>118993.2</v>
      </c>
      <c r="AR202" t="n">
        <v>123014.55</v>
      </c>
      <c r="AS202" t="n">
        <v>126987.45</v>
      </c>
      <c r="AT202" t="n">
        <v>130924.0125</v>
      </c>
      <c r="AU202" t="n">
        <v>134836.35</v>
      </c>
      <c r="AV202" t="n">
        <v>138712.35</v>
      </c>
      <c r="AW202" t="n">
        <v>142539.9</v>
      </c>
      <c r="AX202" t="n">
        <v>146306.8875</v>
      </c>
      <c r="AY202" t="n">
        <v>149989.0875</v>
      </c>
      <c r="AZ202" t="n">
        <v>153598.6125</v>
      </c>
      <c r="BA202" t="n">
        <v>157135.4625</v>
      </c>
      <c r="BB202" t="n">
        <v>160611.75</v>
      </c>
      <c r="BC202" t="n">
        <v>164015.3625</v>
      </c>
      <c r="BD202" t="n">
        <v>167346.3</v>
      </c>
      <c r="BE202" t="n">
        <v>170616.675</v>
      </c>
      <c r="BF202" t="n">
        <v>173814.375</v>
      </c>
      <c r="BG202" t="n">
        <v>176951.5125</v>
      </c>
      <c r="BH202" t="n">
        <v>180028.0875</v>
      </c>
      <c r="BI202" t="n">
        <v>183044.1</v>
      </c>
    </row>
    <row r="203" hidden="1" outlineLevel="2">
      <c r="A203" t="inlineStr">
        <is>
          <t>Brands Avg</t>
        </is>
      </c>
      <c r="B203">
        <f t="array" ref="B203:BI203">_xlfn.HSTACK($BU$194,_xlfn.SCAN($BU$194,_xlfn.SEQUENCE(1,59),_xlfn.LAMBDA(_xlpm.prev,_xlpm._,_xlpm.prev*(1+$DD$194))))</f>
        <v/>
      </c>
      <c r="C203" t="n">
        <v>3.03</v>
      </c>
      <c r="D203" t="n">
        <v>3.0603</v>
      </c>
      <c r="E203" t="n">
        <v>3.090903</v>
      </c>
      <c r="F203" t="n">
        <v>3.121812030000001</v>
      </c>
      <c r="G203" t="n">
        <v>3.153030150300001</v>
      </c>
      <c r="H203" t="n">
        <v>3.184560451803001</v>
      </c>
      <c r="I203" t="n">
        <v>3.216406056321031</v>
      </c>
      <c r="J203" t="n">
        <v>3.248570116884241</v>
      </c>
      <c r="K203" t="n">
        <v>3.281055818053083</v>
      </c>
      <c r="L203" t="n">
        <v>3.313866376233614</v>
      </c>
      <c r="M203" t="n">
        <v>3.34700503999595</v>
      </c>
      <c r="N203" t="n">
        <v>3.38047509039591</v>
      </c>
      <c r="O203" t="n">
        <v>3.414279841299869</v>
      </c>
      <c r="P203" t="n">
        <v>3.448422639712867</v>
      </c>
      <c r="Q203" t="n">
        <v>3.482906866109996</v>
      </c>
      <c r="R203" t="n">
        <v>3.517735934771096</v>
      </c>
      <c r="S203" t="n">
        <v>3.552913294118807</v>
      </c>
      <c r="T203" t="n">
        <v>3.588442427059995</v>
      </c>
      <c r="U203" t="n">
        <v>3.624326851330595</v>
      </c>
      <c r="V203" t="n">
        <v>3.660570119843901</v>
      </c>
      <c r="W203" t="n">
        <v>3.69717582104234</v>
      </c>
      <c r="X203" t="n">
        <v>3.734147579252764</v>
      </c>
      <c r="Y203" t="n">
        <v>3.771489055045292</v>
      </c>
      <c r="Z203" t="n">
        <v>3.809203945595744</v>
      </c>
      <c r="AA203" t="n">
        <v>3.847295985051702</v>
      </c>
      <c r="AB203" t="n">
        <v>3.885768944902219</v>
      </c>
      <c r="AC203" t="n">
        <v>3.924626634351241</v>
      </c>
      <c r="AD203" t="n">
        <v>3.963872900694753</v>
      </c>
      <c r="AE203" t="n">
        <v>4.003511629701701</v>
      </c>
      <c r="AF203" t="n">
        <v>4.043546745998718</v>
      </c>
      <c r="AG203" t="n">
        <v>4.083982213458706</v>
      </c>
      <c r="AH203" t="n">
        <v>4.124822035593293</v>
      </c>
      <c r="AI203" t="n">
        <v>4.166070255949226</v>
      </c>
      <c r="AJ203" t="n">
        <v>4.207730958508718</v>
      </c>
      <c r="AK203" t="n">
        <v>4.249808268093806</v>
      </c>
      <c r="AL203" t="n">
        <v>4.292306350774743</v>
      </c>
      <c r="AM203" t="n">
        <v>4.335229414282491</v>
      </c>
      <c r="AN203" t="n">
        <v>4.378581708425316</v>
      </c>
      <c r="AO203" t="n">
        <v>4.42236752550957</v>
      </c>
      <c r="AP203" t="n">
        <v>4.466591200764666</v>
      </c>
      <c r="AQ203" t="n">
        <v>4.511257112772312</v>
      </c>
      <c r="AR203" t="n">
        <v>4.556369683900035</v>
      </c>
      <c r="AS203" t="n">
        <v>4.601933380739036</v>
      </c>
      <c r="AT203" t="n">
        <v>4.647952714546426</v>
      </c>
      <c r="AU203" t="n">
        <v>4.69443224169189</v>
      </c>
      <c r="AV203" t="n">
        <v>4.741376564108808</v>
      </c>
      <c r="AW203" t="n">
        <v>4.788790329749896</v>
      </c>
      <c r="AX203" t="n">
        <v>4.836678233047396</v>
      </c>
      <c r="AY203" t="n">
        <v>4.88504501537787</v>
      </c>
      <c r="AZ203" t="n">
        <v>4.933895465531648</v>
      </c>
      <c r="BA203" t="n">
        <v>4.983234420186965</v>
      </c>
      <c r="BB203" t="n">
        <v>5.033066764388835</v>
      </c>
      <c r="BC203" t="n">
        <v>5.083397432032723</v>
      </c>
      <c r="BD203" t="n">
        <v>5.134231406353051</v>
      </c>
      <c r="BE203" t="n">
        <v>5.185573720416581</v>
      </c>
      <c r="BF203" t="n">
        <v>5.237429457620747</v>
      </c>
      <c r="BG203" t="n">
        <v>5.289803752196955</v>
      </c>
      <c r="BH203" t="n">
        <v>5.342701789718924</v>
      </c>
      <c r="BI203" t="n">
        <v>5.396128807616114</v>
      </c>
    </row>
    <row r="204" hidden="1" outlineLevel="2">
      <c r="A204" t="inlineStr">
        <is>
          <t>One-Off Revenue</t>
        </is>
      </c>
      <c r="B204">
        <f t="array" ref="B204:BI204">_xlfn.LET(_xlpm.x,_xlfn.ANCHORARRAY(B203)-1,_xlfn.ANCHORARRAY(B199)*$DB$194+_xlfn.ANCHORARRAY(B199)*IF(_xlpm.x&gt;0,_xlpm.x,0)*$DC$194)</f>
        <v/>
      </c>
      <c r="C204" t="n">
        <v>6654</v>
      </c>
      <c r="D204" t="n">
        <v>10062.81</v>
      </c>
      <c r="E204" t="n">
        <v>13527.2508</v>
      </c>
      <c r="F204" t="n">
        <v>17048.154135</v>
      </c>
      <c r="G204" t="n">
        <v>27501.81708216</v>
      </c>
      <c r="H204" t="n">
        <v>46214.72542163601</v>
      </c>
      <c r="I204" t="n">
        <v>72225.15264757117</v>
      </c>
      <c r="J204" t="n">
        <v>98663.96694548287</v>
      </c>
      <c r="K204" t="n">
        <v>120800.3080324243</v>
      </c>
      <c r="L204" t="n">
        <v>143299.1895444101</v>
      </c>
      <c r="M204" t="n">
        <v>167370.1101678311</v>
      </c>
      <c r="N204" t="n">
        <v>205190.0870830726</v>
      </c>
      <c r="O204" t="n">
        <v>247305.3583827721</v>
      </c>
      <c r="P204" t="n">
        <v>292582.8496835849</v>
      </c>
      <c r="Q204" t="n">
        <v>328646.2237959117</v>
      </c>
      <c r="R204" t="n">
        <v>365298.3471055167</v>
      </c>
      <c r="S204" t="n">
        <v>393686.8103412847</v>
      </c>
      <c r="T204" t="n">
        <v>414873.1366383496</v>
      </c>
      <c r="U204" t="n">
        <v>428670.2524479265</v>
      </c>
      <c r="V204" t="n">
        <v>443974.4942959843</v>
      </c>
      <c r="W204" t="n">
        <v>459512.6139557585</v>
      </c>
      <c r="X204" t="n">
        <v>475287.9385592985</v>
      </c>
      <c r="Y204" t="n">
        <v>491303.8383935138</v>
      </c>
      <c r="Z204" t="n">
        <v>519648.578083666</v>
      </c>
      <c r="AA204" t="n">
        <v>548446.4621837818</v>
      </c>
      <c r="AB204" t="n">
        <v>577704.0791080915</v>
      </c>
      <c r="AC204" t="n">
        <v>595031.6118119208</v>
      </c>
      <c r="AD204" t="n">
        <v>612620.3847619158</v>
      </c>
      <c r="AE204" t="n">
        <v>629073.0165208192</v>
      </c>
      <c r="AF204" t="n">
        <v>645770.2588764243</v>
      </c>
      <c r="AG204" t="n">
        <v>662715.5187774894</v>
      </c>
      <c r="AH204" t="n">
        <v>681349.6934613662</v>
      </c>
      <c r="AI204" t="n">
        <v>700263.5800870428</v>
      </c>
      <c r="AJ204" t="n">
        <v>719461.0894758869</v>
      </c>
      <c r="AK204" t="n">
        <v>735996.2977336426</v>
      </c>
      <c r="AL204" t="n">
        <v>751284.4121423736</v>
      </c>
      <c r="AM204" t="n">
        <v>763789.5315609364</v>
      </c>
      <c r="AN204" t="n">
        <v>776463.7249266561</v>
      </c>
      <c r="AO204" t="n">
        <v>787782.4929488814</v>
      </c>
      <c r="AP204" t="n">
        <v>800788.2273192878</v>
      </c>
      <c r="AQ204" t="n">
        <v>813969.6181278074</v>
      </c>
      <c r="AR204" t="n">
        <v>827328.9579297656</v>
      </c>
      <c r="AS204" t="n">
        <v>839287.9875517284</v>
      </c>
      <c r="AT204" t="n">
        <v>852996.4106847013</v>
      </c>
      <c r="AU204" t="n">
        <v>866889.6934815785</v>
      </c>
      <c r="AV204" t="n">
        <v>880970.2422933249</v>
      </c>
      <c r="AW204" t="n">
        <v>891967.218914108</v>
      </c>
      <c r="AX204" t="n">
        <v>901447.8945731635</v>
      </c>
      <c r="AY204" t="n">
        <v>909370.3735188951</v>
      </c>
      <c r="AZ204" t="n">
        <v>917372.0772540839</v>
      </c>
      <c r="BA204" t="n">
        <v>925453.7980266248</v>
      </c>
      <c r="BB204" t="n">
        <v>933616.3360068911</v>
      </c>
      <c r="BC204" t="n">
        <v>941860.49936696</v>
      </c>
      <c r="BD204" t="n">
        <v>950187.1043606296</v>
      </c>
      <c r="BE204" t="n">
        <v>958596.975404236</v>
      </c>
      <c r="BF204" t="n">
        <v>967090.9451582783</v>
      </c>
      <c r="BG204" t="n">
        <v>975669.8546098612</v>
      </c>
      <c r="BH204" t="n">
        <v>984334.5531559597</v>
      </c>
      <c r="BI204" t="n">
        <v>993085.8986875194</v>
      </c>
    </row>
    <row r="205" hidden="1" outlineLevel="2">
      <c r="A205" t="inlineStr">
        <is>
          <t>SaaS Rest</t>
        </is>
      </c>
      <c r="B205">
        <f t="array" ref="B205:BI205">_xlfn.ANCHORARRAY(B202)*$BS$194</f>
        <v/>
      </c>
      <c r="C205" t="n">
        <v>1915.349625</v>
      </c>
      <c r="D205" t="n">
        <v>3830.69925</v>
      </c>
      <c r="E205" t="n">
        <v>6384.49875</v>
      </c>
      <c r="F205" t="n">
        <v>9363.931499999999</v>
      </c>
      <c r="G205" t="n">
        <v>14258.713875</v>
      </c>
      <c r="H205" t="n">
        <v>22558.56225</v>
      </c>
      <c r="I205" t="n">
        <v>35327.55975</v>
      </c>
      <c r="J205" t="n">
        <v>52565.706375</v>
      </c>
      <c r="K205" t="n">
        <v>73208.91899999999</v>
      </c>
      <c r="L205" t="n">
        <v>97257.19762499999</v>
      </c>
      <c r="M205" t="n">
        <v>124923.358875</v>
      </c>
      <c r="N205" t="n">
        <v>158335.569</v>
      </c>
      <c r="O205" t="n">
        <v>198132.277875</v>
      </c>
      <c r="P205" t="n">
        <v>244526.302125</v>
      </c>
      <c r="Q205" t="n">
        <v>295815.10875</v>
      </c>
      <c r="R205" t="n">
        <v>351785.881125</v>
      </c>
      <c r="S205" t="n">
        <v>410948.902875</v>
      </c>
      <c r="T205" t="n">
        <v>471814.457625</v>
      </c>
      <c r="U205" t="n">
        <v>533318.46225</v>
      </c>
      <c r="V205" t="n">
        <v>595460.9167500001</v>
      </c>
      <c r="W205" t="n">
        <v>658241.821125</v>
      </c>
      <c r="X205" t="n">
        <v>721661.175375</v>
      </c>
      <c r="Y205" t="n">
        <v>785718.9795</v>
      </c>
      <c r="Z205" t="n">
        <v>852330.583125</v>
      </c>
      <c r="AA205" t="n">
        <v>921495.98625</v>
      </c>
      <c r="AB205" t="n">
        <v>993002.3722499999</v>
      </c>
      <c r="AC205" t="n">
        <v>1065147.208125</v>
      </c>
      <c r="AD205" t="n">
        <v>1137717.67725</v>
      </c>
      <c r="AE205" t="n">
        <v>1210500.963</v>
      </c>
      <c r="AF205" t="n">
        <v>1283497.065375</v>
      </c>
      <c r="AG205" t="n">
        <v>1356705.984375</v>
      </c>
      <c r="AH205" t="n">
        <v>1430340.536625</v>
      </c>
      <c r="AI205" t="n">
        <v>1504613.53875</v>
      </c>
      <c r="AJ205" t="n">
        <v>1579312.174125</v>
      </c>
      <c r="AK205" t="n">
        <v>1654010.8095</v>
      </c>
      <c r="AL205" t="n">
        <v>1728496.62825</v>
      </c>
      <c r="AM205" t="n">
        <v>1802343.997125</v>
      </c>
      <c r="AN205" t="n">
        <v>1875552.916125</v>
      </c>
      <c r="AO205" t="n">
        <v>1947910.568625</v>
      </c>
      <c r="AP205" t="n">
        <v>2019629.77125</v>
      </c>
      <c r="AQ205" t="n">
        <v>2090710.524</v>
      </c>
      <c r="AR205" t="n">
        <v>2161365.6435</v>
      </c>
      <c r="AS205" t="n">
        <v>2231169.4965</v>
      </c>
      <c r="AT205" t="n">
        <v>2300334.899625</v>
      </c>
      <c r="AU205" t="n">
        <v>2369074.6695</v>
      </c>
      <c r="AV205" t="n">
        <v>2437175.9895</v>
      </c>
      <c r="AW205" t="n">
        <v>2504426.043</v>
      </c>
      <c r="AX205" t="n">
        <v>2570612.013375</v>
      </c>
      <c r="AY205" t="n">
        <v>2635308.267375</v>
      </c>
      <c r="AZ205" t="n">
        <v>2698727.621625</v>
      </c>
      <c r="BA205" t="n">
        <v>2760870.076125</v>
      </c>
      <c r="BB205" t="n">
        <v>2821948.4475</v>
      </c>
      <c r="BC205" t="n">
        <v>2881749.919125</v>
      </c>
      <c r="BD205" t="n">
        <v>2940274.491</v>
      </c>
      <c r="BE205" t="n">
        <v>2997734.97975</v>
      </c>
      <c r="BF205" t="n">
        <v>3053918.56875</v>
      </c>
      <c r="BG205" t="n">
        <v>3109038.074625</v>
      </c>
      <c r="BH205" t="n">
        <v>3163093.497375</v>
      </c>
      <c r="BI205" t="n">
        <v>3216084.837</v>
      </c>
    </row>
    <row r="206" hidden="1" outlineLevel="2">
      <c r="A206" t="inlineStr">
        <is>
          <t>SaaS Brand</t>
        </is>
      </c>
      <c r="B206">
        <f t="array" ref="B206:BI206">_xlfn.ANCHORARRAY(B202)*_xlfn.ANCHORARRAY(B203)*$BT$194</f>
        <v/>
      </c>
      <c r="C206" t="n">
        <v>4954.618124999999</v>
      </c>
      <c r="D206" t="n">
        <v>10008.3286125</v>
      </c>
      <c r="E206" t="n">
        <v>16847.353164375</v>
      </c>
      <c r="F206" t="n">
        <v>24956.5458208275</v>
      </c>
      <c r="G206" t="n">
        <v>38382.03308398629</v>
      </c>
      <c r="H206" t="n">
        <v>61331.05167121751</v>
      </c>
      <c r="I206" t="n">
        <v>97007.20870939932</v>
      </c>
      <c r="J206" t="n">
        <v>145785.4720285172</v>
      </c>
      <c r="K206" t="n">
        <v>205067.6291562267</v>
      </c>
      <c r="L206" t="n">
        <v>275154.2604349987</v>
      </c>
      <c r="M206" t="n">
        <v>356959.9702059031</v>
      </c>
      <c r="N206" t="n">
        <v>456957.4105818123</v>
      </c>
      <c r="O206" t="n">
        <v>577529.0628282042</v>
      </c>
      <c r="P206" t="n">
        <v>719889.0463174034</v>
      </c>
      <c r="Q206" t="n">
        <v>879592.8913185402</v>
      </c>
      <c r="R206" t="n">
        <v>1056479.65456334</v>
      </c>
      <c r="S206" t="n">
        <v>1246498.992795782</v>
      </c>
      <c r="T206" t="n">
        <v>1445428.870895148</v>
      </c>
      <c r="U206" t="n">
        <v>1650188.181311626</v>
      </c>
      <c r="V206" t="n">
        <v>1860893.374550291</v>
      </c>
      <c r="W206" t="n">
        <v>2077662.844731554</v>
      </c>
      <c r="X206" t="n">
        <v>2300616.958793905</v>
      </c>
      <c r="Y206" t="n">
        <v>2529878.086106095</v>
      </c>
      <c r="Z206" t="n">
        <v>2771799.391171034</v>
      </c>
      <c r="AA206" t="n">
        <v>3026694.201600071</v>
      </c>
      <c r="AB206" t="n">
        <v>3294175.680395517</v>
      </c>
      <c r="AC206" t="n">
        <v>3568843.286151599</v>
      </c>
      <c r="AD206" t="n">
        <v>3850115.198770052</v>
      </c>
      <c r="AE206" t="n">
        <v>4137383.053331481</v>
      </c>
      <c r="AF206" t="n">
        <v>4430745.915363676</v>
      </c>
      <c r="AG206" t="n">
        <v>4730304.304849588</v>
      </c>
      <c r="AH206" t="n">
        <v>5036909.644740866</v>
      </c>
      <c r="AI206" t="n">
        <v>5351444.829668369</v>
      </c>
      <c r="AJ206" t="n">
        <v>5673296.011566996</v>
      </c>
      <c r="AK206" t="n">
        <v>6001049.072620627</v>
      </c>
      <c r="AL206" t="n">
        <v>6334010.006884068</v>
      </c>
      <c r="AM206" t="n">
        <v>6670667.083942895</v>
      </c>
      <c r="AN206" t="n">
        <v>7011037.30084976</v>
      </c>
      <c r="AO206" t="n">
        <v>7354333.899787205</v>
      </c>
      <c r="AP206" t="n">
        <v>7701360.755606947</v>
      </c>
      <c r="AQ206" t="n">
        <v>8052133.798073075</v>
      </c>
      <c r="AR206" t="n">
        <v>8407496.494479075</v>
      </c>
      <c r="AS206" t="n">
        <v>8765816.776348939</v>
      </c>
      <c r="AT206" t="n">
        <v>9127929.289480276</v>
      </c>
      <c r="AU206" t="n">
        <v>9494701.631880784</v>
      </c>
      <c r="AV206" t="n">
        <v>9865312.281636879</v>
      </c>
      <c r="AW206" t="n">
        <v>10238905.42085276</v>
      </c>
      <c r="AX206" t="n">
        <v>10614590.07174246</v>
      </c>
      <c r="AY206" t="n">
        <v>10990551.66379425</v>
      </c>
      <c r="AZ206" t="n">
        <v>11367592.46588554</v>
      </c>
      <c r="BA206" t="n">
        <v>11745642.68042997</v>
      </c>
      <c r="BB206" t="n">
        <v>12125544.91342993</v>
      </c>
      <c r="BC206" t="n">
        <v>12506329.08819624</v>
      </c>
      <c r="BD206" t="n">
        <v>12887919.43795469</v>
      </c>
      <c r="BE206" t="n">
        <v>13271180.19217285</v>
      </c>
      <c r="BF206" t="n">
        <v>13655107.91674409</v>
      </c>
      <c r="BG206" t="n">
        <v>14040581.62169139</v>
      </c>
      <c r="BH206" t="n">
        <v>14427545.77928887</v>
      </c>
      <c r="BI206" t="n">
        <v>14815943.11611247</v>
      </c>
    </row>
    <row r="207" hidden="1" outlineLevel="2">
      <c r="A207" t="inlineStr">
        <is>
          <t>SM Gross</t>
        </is>
      </c>
      <c r="B207">
        <f t="array" ref="B207:BI207">_xlfn.ANCHORARRAY(B202)*($BV$194+_xlfn.ANCHORARRAY(B203)*$BW$194)</f>
        <v/>
      </c>
      <c r="C207" t="n">
        <v>13708.321875</v>
      </c>
      <c r="D207" t="n">
        <v>27581.7976875</v>
      </c>
      <c r="E207" t="n">
        <v>46247.671940625</v>
      </c>
      <c r="F207" t="n">
        <v>68241.7430347125</v>
      </c>
      <c r="G207" t="n">
        <v>104546.9301399772</v>
      </c>
      <c r="H207" t="n">
        <v>166414.6694520292</v>
      </c>
      <c r="I207" t="n">
        <v>262212.4311823322</v>
      </c>
      <c r="J207" t="n">
        <v>392565.1617141953</v>
      </c>
      <c r="K207" t="n">
        <v>550114.3819270446</v>
      </c>
      <c r="L207" t="n">
        <v>735361.0590583311</v>
      </c>
      <c r="M207" t="n">
        <v>950435.158676505</v>
      </c>
      <c r="N207" t="n">
        <v>1212180.68430302</v>
      </c>
      <c r="O207" t="n">
        <v>1526385.313047007</v>
      </c>
      <c r="P207" t="n">
        <v>1895678.202195672</v>
      </c>
      <c r="Q207" t="n">
        <v>2307806.902197567</v>
      </c>
      <c r="R207" t="n">
        <v>2761897.549272233</v>
      </c>
      <c r="S207" t="n">
        <v>3246960.196326303</v>
      </c>
      <c r="T207" t="n">
        <v>3751718.74315858</v>
      </c>
      <c r="U207" t="n">
        <v>4268009.885519376</v>
      </c>
      <c r="V207" t="n">
        <v>4796027.707583818</v>
      </c>
      <c r="W207" t="n">
        <v>5335969.532885924</v>
      </c>
      <c r="X207" t="n">
        <v>5888035.972989842</v>
      </c>
      <c r="Y207" t="n">
        <v>6452430.976843492</v>
      </c>
      <c r="Z207" t="n">
        <v>7045193.776951724</v>
      </c>
      <c r="AA207" t="n">
        <v>7666846.586000118</v>
      </c>
      <c r="AB207" t="n">
        <v>8316139.050659196</v>
      </c>
      <c r="AC207" t="n">
        <v>8979225.268585999</v>
      </c>
      <c r="AD207" t="n">
        <v>9654529.914616752</v>
      </c>
      <c r="AE207" t="n">
        <v>10340433.42221913</v>
      </c>
      <c r="AF207" t="n">
        <v>11037100.90060613</v>
      </c>
      <c r="AG207" t="n">
        <v>11744699.88308265</v>
      </c>
      <c r="AH207" t="n">
        <v>12465255.03290145</v>
      </c>
      <c r="AI207" t="n">
        <v>13200843.46611395</v>
      </c>
      <c r="AJ207" t="n">
        <v>13949836.47761166</v>
      </c>
      <c r="AK207" t="n">
        <v>14708665.95436771</v>
      </c>
      <c r="AL207" t="n">
        <v>15475569.59480678</v>
      </c>
      <c r="AM207" t="n">
        <v>16246816.59823816</v>
      </c>
      <c r="AN207" t="n">
        <v>17022435.29308293</v>
      </c>
      <c r="AO207" t="n">
        <v>17800508.79131201</v>
      </c>
      <c r="AP207" t="n">
        <v>18582982.50934491</v>
      </c>
      <c r="AQ207" t="n">
        <v>19369882.99678846</v>
      </c>
      <c r="AR207" t="n">
        <v>20163221.65746513</v>
      </c>
      <c r="AS207" t="n">
        <v>20959067.12724823</v>
      </c>
      <c r="AT207" t="n">
        <v>21759416.10746713</v>
      </c>
      <c r="AU207" t="n">
        <v>22566320.21980131</v>
      </c>
      <c r="AV207" t="n">
        <v>23377804.63606146</v>
      </c>
      <c r="AW207" t="n">
        <v>24191837.36808793</v>
      </c>
      <c r="AX207" t="n">
        <v>25006327.8279041</v>
      </c>
      <c r="AY207" t="n">
        <v>25817040.48132375</v>
      </c>
      <c r="AZ207" t="n">
        <v>26625918.06814257</v>
      </c>
      <c r="BA207" t="n">
        <v>27432844.25904995</v>
      </c>
      <c r="BB207" t="n">
        <v>28239829.02238321</v>
      </c>
      <c r="BC207" t="n">
        <v>29044649.9386604</v>
      </c>
      <c r="BD207" t="n">
        <v>29847180.72992449</v>
      </c>
      <c r="BE207" t="n">
        <v>30649467.40362142</v>
      </c>
      <c r="BF207" t="n">
        <v>31449231.94457348</v>
      </c>
      <c r="BG207" t="n">
        <v>32248544.99448565</v>
      </c>
      <c r="BH207" t="n">
        <v>33047314.00714812</v>
      </c>
      <c r="BI207" t="n">
        <v>33845443.52685412</v>
      </c>
    </row>
    <row r="208" hidden="1" outlineLevel="2">
      <c r="A208" t="inlineStr">
        <is>
          <t>Total Revenue</t>
        </is>
      </c>
      <c r="B208">
        <f t="array" ref="B208:BI208">_xlfn.ANCHORARRAY(B204)+_xlfn.ANCHORARRAY(B205)+_xlfn.ANCHORARRAY(B206)+_xlfn.ANCHORARRAY(B207)+_xlfn.ANCHORARRAY(B200)*Escenarios!$F$31*'Supuestos Generales'!$B$60</f>
        <v/>
      </c>
      <c r="C208" t="n">
        <v>27322.289625</v>
      </c>
      <c r="D208" t="n">
        <v>51663.63555</v>
      </c>
      <c r="E208" t="n">
        <v>83306.774655</v>
      </c>
      <c r="F208" t="n">
        <v>120050.37449054</v>
      </c>
      <c r="G208" t="n">
        <v>185359.4941811234</v>
      </c>
      <c r="H208" t="n">
        <v>297579.0087948827</v>
      </c>
      <c r="I208" t="n">
        <v>468432.3522893027</v>
      </c>
      <c r="J208" t="n">
        <v>692050.3070631953</v>
      </c>
      <c r="K208" t="n">
        <v>952631.2381156957</v>
      </c>
      <c r="L208" t="n">
        <v>1255641.70666274</v>
      </c>
      <c r="M208" t="n">
        <v>1605558.597925239</v>
      </c>
      <c r="N208" t="n">
        <v>2040103.750967905</v>
      </c>
      <c r="O208" t="n">
        <v>2558662.012132984</v>
      </c>
      <c r="P208" t="n">
        <v>3164166.400321661</v>
      </c>
      <c r="Q208" t="n">
        <v>3825761.126062019</v>
      </c>
      <c r="R208" t="n">
        <v>4551991.432066089</v>
      </c>
      <c r="S208" t="n">
        <v>5317404.90233837</v>
      </c>
      <c r="T208" t="n">
        <v>6106005.208317078</v>
      </c>
      <c r="U208" t="n">
        <v>6905246.781528928</v>
      </c>
      <c r="V208" t="n">
        <v>7724336.493180092</v>
      </c>
      <c r="W208" t="n">
        <v>8562316.812698238</v>
      </c>
      <c r="X208" t="n">
        <v>9419512.045718046</v>
      </c>
      <c r="Y208" t="n">
        <v>10296251.8808431</v>
      </c>
      <c r="Z208" t="n">
        <v>11229022.32933142</v>
      </c>
      <c r="AA208" t="n">
        <v>12206783.23603397</v>
      </c>
      <c r="AB208" t="n">
        <v>13227681.1824128</v>
      </c>
      <c r="AC208" t="n">
        <v>14258297.37467452</v>
      </c>
      <c r="AD208" t="n">
        <v>15308443.17539872</v>
      </c>
      <c r="AE208" t="n">
        <v>16374270.45507143</v>
      </c>
      <c r="AF208" t="n">
        <v>17457424.14022123</v>
      </c>
      <c r="AG208" t="n">
        <v>18558175.69108472</v>
      </c>
      <c r="AH208" t="n">
        <v>19681064.90772868</v>
      </c>
      <c r="AI208" t="n">
        <v>20827865.41461936</v>
      </c>
      <c r="AJ208" t="n">
        <v>21996115.75277954</v>
      </c>
      <c r="AK208" t="n">
        <v>23177442.13422198</v>
      </c>
      <c r="AL208" t="n">
        <v>24370580.64208322</v>
      </c>
      <c r="AM208" t="n">
        <v>25568307.21086699</v>
      </c>
      <c r="AN208" t="n">
        <v>26773619.23498435</v>
      </c>
      <c r="AO208" t="n">
        <v>27982065.75267309</v>
      </c>
      <c r="AP208" t="n">
        <v>29199661.26352114</v>
      </c>
      <c r="AQ208" t="n">
        <v>30424936.93698934</v>
      </c>
      <c r="AR208" t="n">
        <v>31660972.75337397</v>
      </c>
      <c r="AS208" t="n">
        <v>32900181.3876489</v>
      </c>
      <c r="AT208" t="n">
        <v>34148766.70725711</v>
      </c>
      <c r="AU208" t="n">
        <v>35408306.21466367</v>
      </c>
      <c r="AV208" t="n">
        <v>36675783.14949167</v>
      </c>
      <c r="AW208" t="n">
        <v>37944816.05085479</v>
      </c>
      <c r="AX208" t="n">
        <v>39213767.80759472</v>
      </c>
      <c r="AY208" t="n">
        <v>40476100.7860119</v>
      </c>
      <c r="AZ208" t="n">
        <v>41736420.23290719</v>
      </c>
      <c r="BA208" t="n">
        <v>42994540.81363155</v>
      </c>
      <c r="BB208" t="n">
        <v>44253538.71932003</v>
      </c>
      <c r="BC208" t="n">
        <v>45509999.44534861</v>
      </c>
      <c r="BD208" t="n">
        <v>46763721.76323981</v>
      </c>
      <c r="BE208" t="n">
        <v>48017839.5509485</v>
      </c>
      <c r="BF208" t="n">
        <v>49268849.37522584</v>
      </c>
      <c r="BG208" t="n">
        <v>50519924.54541191</v>
      </c>
      <c r="BH208" t="n">
        <v>51770917.83696796</v>
      </c>
      <c r="BI208" t="n">
        <v>53021677.37865411</v>
      </c>
    </row>
    <row r="209" hidden="1" outlineLevel="2">
      <c r="A209" t="inlineStr">
        <is>
          <t>Referred Waiters</t>
        </is>
      </c>
      <c r="B209">
        <f t="array" ref="B209:BI209">(_xlfn.ANCHORARRAY(B196)+_xlfn.ANCHORARRAY(B197))*$BP$194*$BR$194</f>
        <v/>
      </c>
      <c r="C209" t="n">
        <v>36.3375</v>
      </c>
      <c r="D209" t="n">
        <v>72.675</v>
      </c>
      <c r="E209" t="n">
        <v>72.675</v>
      </c>
      <c r="F209" t="n">
        <v>109.0125</v>
      </c>
      <c r="G209" t="n">
        <v>145.35</v>
      </c>
      <c r="H209" t="n">
        <v>218.025</v>
      </c>
      <c r="I209" t="n">
        <v>411.825</v>
      </c>
      <c r="J209" t="n">
        <v>605.625</v>
      </c>
      <c r="K209" t="n">
        <v>750.9749999999999</v>
      </c>
      <c r="L209" t="n">
        <v>896.3249999999999</v>
      </c>
      <c r="M209" t="n">
        <v>1041.675</v>
      </c>
      <c r="N209" t="n">
        <v>1199.1375</v>
      </c>
      <c r="O209" t="n">
        <v>1489.8375</v>
      </c>
      <c r="P209" t="n">
        <v>1804.7625</v>
      </c>
      <c r="Q209" t="n">
        <v>2022.7875</v>
      </c>
      <c r="R209" t="n">
        <v>2240.8125</v>
      </c>
      <c r="S209" t="n">
        <v>2458.8375</v>
      </c>
      <c r="T209" t="n">
        <v>2592.075</v>
      </c>
      <c r="U209" t="n">
        <v>2652.6375</v>
      </c>
      <c r="V209" t="n">
        <v>2725.3125</v>
      </c>
      <c r="W209" t="n">
        <v>2797.9875</v>
      </c>
      <c r="X209" t="n">
        <v>2870.6625</v>
      </c>
      <c r="Y209" t="n">
        <v>2943.3375</v>
      </c>
      <c r="Z209" t="n">
        <v>3016.0125</v>
      </c>
      <c r="AA209" t="n">
        <v>3197.7</v>
      </c>
      <c r="AB209" t="n">
        <v>3379.3875</v>
      </c>
      <c r="AC209" t="n">
        <v>3452.0625</v>
      </c>
      <c r="AD209" t="n">
        <v>3524.7375</v>
      </c>
      <c r="AE209" t="n">
        <v>3597.4125</v>
      </c>
      <c r="AF209" t="n">
        <v>3657.975</v>
      </c>
      <c r="AG209" t="n">
        <v>3718.5375</v>
      </c>
      <c r="AH209" t="n">
        <v>3791.2125</v>
      </c>
      <c r="AI209" t="n">
        <v>3863.8875</v>
      </c>
      <c r="AJ209" t="n">
        <v>3936.5625</v>
      </c>
      <c r="AK209" t="n">
        <v>4009.2375</v>
      </c>
      <c r="AL209" t="n">
        <v>4057.6875</v>
      </c>
      <c r="AM209" t="n">
        <v>4094.025</v>
      </c>
      <c r="AN209" t="n">
        <v>4130.3625</v>
      </c>
      <c r="AO209" t="n">
        <v>4154.5875</v>
      </c>
      <c r="AP209" t="n">
        <v>4178.8125</v>
      </c>
      <c r="AQ209" t="n">
        <v>4215.15</v>
      </c>
      <c r="AR209" t="n">
        <v>4251.4875</v>
      </c>
      <c r="AS209" t="n">
        <v>4275.7125</v>
      </c>
      <c r="AT209" t="n">
        <v>4299.9375</v>
      </c>
      <c r="AU209" t="n">
        <v>4336.275</v>
      </c>
      <c r="AV209" t="n">
        <v>4372.6125</v>
      </c>
      <c r="AW209" t="n">
        <v>4396.8375</v>
      </c>
      <c r="AX209" t="n">
        <v>4408.95</v>
      </c>
      <c r="AY209" t="n">
        <v>4408.95</v>
      </c>
      <c r="AZ209" t="n">
        <v>4408.95</v>
      </c>
      <c r="BA209" t="n">
        <v>4408.95</v>
      </c>
      <c r="BB209" t="n">
        <v>4408.95</v>
      </c>
      <c r="BC209" t="n">
        <v>4408.95</v>
      </c>
      <c r="BD209" t="n">
        <v>4408.95</v>
      </c>
      <c r="BE209" t="n">
        <v>4408.95</v>
      </c>
      <c r="BF209" t="n">
        <v>4408.95</v>
      </c>
      <c r="BG209" t="n">
        <v>4408.95</v>
      </c>
      <c r="BH209" t="n">
        <v>4408.95</v>
      </c>
      <c r="BI209" t="n">
        <v>4408.95</v>
      </c>
    </row>
    <row r="210" hidden="1" outlineLevel="2">
      <c r="A210" t="inlineStr">
        <is>
          <t>Free Awarded</t>
        </is>
      </c>
      <c r="B210">
        <f t="array" ref="B210:BI210">FLOOR(_xlfn.ANCHORARRAY(B209)/$CR$194,1)</f>
        <v/>
      </c>
      <c r="C210" t="n">
        <v>7</v>
      </c>
      <c r="D210" t="n">
        <v>14</v>
      </c>
      <c r="E210" t="n">
        <v>14</v>
      </c>
      <c r="F210" t="n">
        <v>21</v>
      </c>
      <c r="G210" t="n">
        <v>29</v>
      </c>
      <c r="H210" t="n">
        <v>43</v>
      </c>
      <c r="I210" t="n">
        <v>82</v>
      </c>
      <c r="J210" t="n">
        <v>121</v>
      </c>
      <c r="K210" t="n">
        <v>150</v>
      </c>
      <c r="L210" t="n">
        <v>179</v>
      </c>
      <c r="M210" t="n">
        <v>208</v>
      </c>
      <c r="N210" t="n">
        <v>239</v>
      </c>
      <c r="O210" t="n">
        <v>297</v>
      </c>
      <c r="P210" t="n">
        <v>360</v>
      </c>
      <c r="Q210" t="n">
        <v>404</v>
      </c>
      <c r="R210" t="n">
        <v>448</v>
      </c>
      <c r="S210" t="n">
        <v>491</v>
      </c>
      <c r="T210" t="n">
        <v>518</v>
      </c>
      <c r="U210" t="n">
        <v>530</v>
      </c>
      <c r="V210" t="n">
        <v>545</v>
      </c>
      <c r="W210" t="n">
        <v>559</v>
      </c>
      <c r="X210" t="n">
        <v>574</v>
      </c>
      <c r="Y210" t="n">
        <v>588</v>
      </c>
      <c r="Z210" t="n">
        <v>603</v>
      </c>
      <c r="AA210" t="n">
        <v>639</v>
      </c>
      <c r="AB210" t="n">
        <v>675</v>
      </c>
      <c r="AC210" t="n">
        <v>690</v>
      </c>
      <c r="AD210" t="n">
        <v>704</v>
      </c>
      <c r="AE210" t="n">
        <v>719</v>
      </c>
      <c r="AF210" t="n">
        <v>731</v>
      </c>
      <c r="AG210" t="n">
        <v>743</v>
      </c>
      <c r="AH210" t="n">
        <v>758</v>
      </c>
      <c r="AI210" t="n">
        <v>772</v>
      </c>
      <c r="AJ210" t="n">
        <v>787</v>
      </c>
      <c r="AK210" t="n">
        <v>801</v>
      </c>
      <c r="AL210" t="n">
        <v>811</v>
      </c>
      <c r="AM210" t="n">
        <v>818</v>
      </c>
      <c r="AN210" t="n">
        <v>826</v>
      </c>
      <c r="AO210" t="n">
        <v>830</v>
      </c>
      <c r="AP210" t="n">
        <v>835</v>
      </c>
      <c r="AQ210" t="n">
        <v>843</v>
      </c>
      <c r="AR210" t="n">
        <v>850</v>
      </c>
      <c r="AS210" t="n">
        <v>855</v>
      </c>
      <c r="AT210" t="n">
        <v>859</v>
      </c>
      <c r="AU210" t="n">
        <v>867</v>
      </c>
      <c r="AV210" t="n">
        <v>874</v>
      </c>
      <c r="AW210" t="n">
        <v>879</v>
      </c>
      <c r="AX210" t="n">
        <v>881</v>
      </c>
      <c r="AY210" t="n">
        <v>881</v>
      </c>
      <c r="AZ210" t="n">
        <v>881</v>
      </c>
      <c r="BA210" t="n">
        <v>881</v>
      </c>
      <c r="BB210" t="n">
        <v>881</v>
      </c>
      <c r="BC210" t="n">
        <v>881</v>
      </c>
      <c r="BD210" t="n">
        <v>881</v>
      </c>
      <c r="BE210" t="n">
        <v>881</v>
      </c>
      <c r="BF210" t="n">
        <v>881</v>
      </c>
      <c r="BG210" t="n">
        <v>881</v>
      </c>
      <c r="BH210" t="n">
        <v>881</v>
      </c>
      <c r="BI210" t="n">
        <v>881</v>
      </c>
    </row>
    <row r="211" hidden="1" outlineLevel="2">
      <c r="A211" t="inlineStr">
        <is>
          <t>Free Active</t>
        </is>
      </c>
      <c r="B211">
        <f t="array" ref="B211:BI211">_xlfn.LET(_xlpm.cum,_xlfn.SCAN(0,_xlfn.ANCHORARRAY(B210),_xlfn.LAMBDA(_xlpm.a,_xlpm.v,_xlpm.a+_xlpm.v)),_xlfn.HSTACK(_xlfn.TAKE(_xlpm.cum,,12),_xlfn.DROP(_xlpm.cum,,12)-_xlfn.TAKE(_xlpm.cum,,48)))</f>
        <v/>
      </c>
      <c r="C211" t="n">
        <v>7</v>
      </c>
      <c r="D211" t="n">
        <v>21</v>
      </c>
      <c r="E211" t="n">
        <v>35</v>
      </c>
      <c r="F211" t="n">
        <v>56</v>
      </c>
      <c r="G211" t="n">
        <v>85</v>
      </c>
      <c r="H211" t="n">
        <v>128</v>
      </c>
      <c r="I211" t="n">
        <v>210</v>
      </c>
      <c r="J211" t="n">
        <v>331</v>
      </c>
      <c r="K211" t="n">
        <v>481</v>
      </c>
      <c r="L211" t="n">
        <v>660</v>
      </c>
      <c r="M211" t="n">
        <v>868</v>
      </c>
      <c r="N211" t="n">
        <v>1107</v>
      </c>
      <c r="O211" t="n">
        <v>1397</v>
      </c>
      <c r="P211" t="n">
        <v>1743</v>
      </c>
      <c r="Q211" t="n">
        <v>2133</v>
      </c>
      <c r="R211" t="n">
        <v>2560</v>
      </c>
      <c r="S211" t="n">
        <v>3022</v>
      </c>
      <c r="T211" t="n">
        <v>3497</v>
      </c>
      <c r="U211" t="n">
        <v>3945</v>
      </c>
      <c r="V211" t="n">
        <v>4369</v>
      </c>
      <c r="W211" t="n">
        <v>4778</v>
      </c>
      <c r="X211" t="n">
        <v>5173</v>
      </c>
      <c r="Y211" t="n">
        <v>5553</v>
      </c>
      <c r="Z211" t="n">
        <v>5917</v>
      </c>
      <c r="AA211" t="n">
        <v>6259</v>
      </c>
      <c r="AB211" t="n">
        <v>6574</v>
      </c>
      <c r="AC211" t="n">
        <v>6860</v>
      </c>
      <c r="AD211" t="n">
        <v>7116</v>
      </c>
      <c r="AE211" t="n">
        <v>7344</v>
      </c>
      <c r="AF211" t="n">
        <v>7557</v>
      </c>
      <c r="AG211" t="n">
        <v>7770</v>
      </c>
      <c r="AH211" t="n">
        <v>7983</v>
      </c>
      <c r="AI211" t="n">
        <v>8196</v>
      </c>
      <c r="AJ211" t="n">
        <v>8409</v>
      </c>
      <c r="AK211" t="n">
        <v>8622</v>
      </c>
      <c r="AL211" t="n">
        <v>8830</v>
      </c>
      <c r="AM211" t="n">
        <v>9009</v>
      </c>
      <c r="AN211" t="n">
        <v>9160</v>
      </c>
      <c r="AO211" t="n">
        <v>9300</v>
      </c>
      <c r="AP211" t="n">
        <v>9431</v>
      </c>
      <c r="AQ211" t="n">
        <v>9555</v>
      </c>
      <c r="AR211" t="n">
        <v>9674</v>
      </c>
      <c r="AS211" t="n">
        <v>9786</v>
      </c>
      <c r="AT211" t="n">
        <v>9887</v>
      </c>
      <c r="AU211" t="n">
        <v>9982</v>
      </c>
      <c r="AV211" t="n">
        <v>10069</v>
      </c>
      <c r="AW211" t="n">
        <v>10147</v>
      </c>
      <c r="AX211" t="n">
        <v>10217</v>
      </c>
      <c r="AY211" t="n">
        <v>10280</v>
      </c>
      <c r="AZ211" t="n">
        <v>10335</v>
      </c>
      <c r="BA211" t="n">
        <v>10386</v>
      </c>
      <c r="BB211" t="n">
        <v>10432</v>
      </c>
      <c r="BC211" t="n">
        <v>10470</v>
      </c>
      <c r="BD211" t="n">
        <v>10501</v>
      </c>
      <c r="BE211" t="n">
        <v>10527</v>
      </c>
      <c r="BF211" t="n">
        <v>10549</v>
      </c>
      <c r="BG211" t="n">
        <v>10563</v>
      </c>
      <c r="BH211" t="n">
        <v>10570</v>
      </c>
      <c r="BI211" t="n">
        <v>10572</v>
      </c>
    </row>
    <row r="212" hidden="1" outlineLevel="2">
      <c r="A212" t="inlineStr">
        <is>
          <t>Discount Cost</t>
        </is>
      </c>
      <c r="B212">
        <f t="array" ref="B212:BI212">_xlfn.ANCHORARRAY(B211)*$BS$194</f>
        <v/>
      </c>
      <c r="C212" t="n">
        <v>122.99</v>
      </c>
      <c r="D212" t="n">
        <v>368.97</v>
      </c>
      <c r="E212" t="n">
        <v>614.95</v>
      </c>
      <c r="F212" t="n">
        <v>983.9200000000001</v>
      </c>
      <c r="G212" t="n">
        <v>1493.45</v>
      </c>
      <c r="H212" t="n">
        <v>2248.96</v>
      </c>
      <c r="I212" t="n">
        <v>3689.7</v>
      </c>
      <c r="J212" t="n">
        <v>5815.67</v>
      </c>
      <c r="K212" t="n">
        <v>8451.17</v>
      </c>
      <c r="L212" t="n">
        <v>11596.2</v>
      </c>
      <c r="M212" t="n">
        <v>15250.76</v>
      </c>
      <c r="N212" t="n">
        <v>19449.99</v>
      </c>
      <c r="O212" t="n">
        <v>24545.29</v>
      </c>
      <c r="P212" t="n">
        <v>30624.51</v>
      </c>
      <c r="Q212" t="n">
        <v>37476.81</v>
      </c>
      <c r="R212" t="n">
        <v>44979.2</v>
      </c>
      <c r="S212" t="n">
        <v>53096.54</v>
      </c>
      <c r="T212" t="n">
        <v>61442.29</v>
      </c>
      <c r="U212" t="n">
        <v>69313.64999999999</v>
      </c>
      <c r="V212" t="n">
        <v>76763.33</v>
      </c>
      <c r="W212" t="n">
        <v>83949.46000000001</v>
      </c>
      <c r="X212" t="n">
        <v>90889.61</v>
      </c>
      <c r="Y212" t="n">
        <v>97566.21000000001</v>
      </c>
      <c r="Z212" t="n">
        <v>103961.69</v>
      </c>
      <c r="AA212" t="n">
        <v>109970.63</v>
      </c>
      <c r="AB212" t="n">
        <v>115505.18</v>
      </c>
      <c r="AC212" t="n">
        <v>120530.2</v>
      </c>
      <c r="AD212" t="n">
        <v>125028.12</v>
      </c>
      <c r="AE212" t="n">
        <v>129034.08</v>
      </c>
      <c r="AF212" t="n">
        <v>132776.49</v>
      </c>
      <c r="AG212" t="n">
        <v>136518.9</v>
      </c>
      <c r="AH212" t="n">
        <v>140261.31</v>
      </c>
      <c r="AI212" t="n">
        <v>144003.72</v>
      </c>
      <c r="AJ212" t="n">
        <v>147746.13</v>
      </c>
      <c r="AK212" t="n">
        <v>151488.54</v>
      </c>
      <c r="AL212" t="n">
        <v>155143.1</v>
      </c>
      <c r="AM212" t="n">
        <v>158288.13</v>
      </c>
      <c r="AN212" t="n">
        <v>160941.2</v>
      </c>
      <c r="AO212" t="n">
        <v>163401</v>
      </c>
      <c r="AP212" t="n">
        <v>165702.67</v>
      </c>
      <c r="AQ212" t="n">
        <v>167881.35</v>
      </c>
      <c r="AR212" t="n">
        <v>169972.18</v>
      </c>
      <c r="AS212" t="n">
        <v>171940.02</v>
      </c>
      <c r="AT212" t="n">
        <v>173714.59</v>
      </c>
      <c r="AU212" t="n">
        <v>175383.74</v>
      </c>
      <c r="AV212" t="n">
        <v>176912.33</v>
      </c>
      <c r="AW212" t="n">
        <v>178282.79</v>
      </c>
      <c r="AX212" t="n">
        <v>179512.69</v>
      </c>
      <c r="AY212" t="n">
        <v>180619.6</v>
      </c>
      <c r="AZ212" t="n">
        <v>181585.95</v>
      </c>
      <c r="BA212" t="n">
        <v>182482.02</v>
      </c>
      <c r="BB212" t="n">
        <v>183290.24</v>
      </c>
      <c r="BC212" t="n">
        <v>183957.9</v>
      </c>
      <c r="BD212" t="n">
        <v>184502.57</v>
      </c>
      <c r="BE212" t="n">
        <v>184959.39</v>
      </c>
      <c r="BF212" t="n">
        <v>185345.93</v>
      </c>
      <c r="BG212" t="n">
        <v>185591.91</v>
      </c>
      <c r="BH212" t="n">
        <v>185714.9</v>
      </c>
      <c r="BI212" t="n">
        <v>185750.04</v>
      </c>
    </row>
    <row r="213" hidden="1" outlineLevel="2">
      <c r="A213" t="inlineStr">
        <is>
          <t>Direct Cost Total</t>
        </is>
      </c>
      <c r="B213">
        <f t="array" ref="B213:BI213">_xlfn.ANCHORARRAY(B202)*'Supuestos Generales'!$B$69+_xlfn.ANCHORARRAY(B207)*$BX$194*(1-$BZ$194)+_xlfn.ANCHORARRAY(B202)*'Supuestos Generales'!$B$71+_xlfn.ANCHORARRAY(B200)*$CC$194+_xlfn.ANCHORARRAY(B202)*'Supuestos Generales'!$B$77+CEILING(_xlfn.ANCHORARRAY(B200)/$CD$194,1)*'Supuestos Generales'!$B$81+CEILING(_xlfn.ANCHORARRAY(B200)/$CE$194,1)*'Supuestos Generales'!$B$74+$CY$194*(1.1^(CEILING(_xlfn.SEQUENCE(1,60)/12,1)-1))+'Supuestos Generales'!$B$86+_xlfn.ANCHORARRAY(B212)+_xlfn.ANCHORARRAY(B207)*$CV$194+$DA$194*(_xlfn.ANCHORARRAY(B205)+_xlfn.ANCHORARRAY(B206)+_xlfn.ANCHORARRAY(B200)*Escenarios!$F$31*'Supuestos Generales'!$B$60+_xlfn.ANCHORARRAY(B207)+_xlfn.ANCHORARRAY(B207)*$BX$194*$BY$194)</f>
        <v/>
      </c>
      <c r="C213" t="n">
        <v>16028.60311625</v>
      </c>
      <c r="D213" t="n">
        <v>27691.65296508751</v>
      </c>
      <c r="E213" t="n">
        <v>43290.99044166812</v>
      </c>
      <c r="F213" t="n">
        <v>61741.16283489938</v>
      </c>
      <c r="G213" t="n">
        <v>92089.36162349924</v>
      </c>
      <c r="H213" t="n">
        <v>146429.4808285383</v>
      </c>
      <c r="I213" t="n">
        <v>227556.922314868</v>
      </c>
      <c r="J213" t="n">
        <v>339457.769379426</v>
      </c>
      <c r="K213" t="n">
        <v>474134.9634278552</v>
      </c>
      <c r="L213" t="n">
        <v>631978.1567774449</v>
      </c>
      <c r="M213" t="n">
        <v>815713.6233542106</v>
      </c>
      <c r="N213" t="n">
        <v>1040090.336165889</v>
      </c>
      <c r="O213" t="n">
        <v>1308086.710588587</v>
      </c>
      <c r="P213" t="n">
        <v>1623071.841867169</v>
      </c>
      <c r="Q213" t="n">
        <v>1973748.241085518</v>
      </c>
      <c r="R213" t="n">
        <v>2360993.640288318</v>
      </c>
      <c r="S213" t="n">
        <v>2774987.811678223</v>
      </c>
      <c r="T213" t="n">
        <v>3204086.557570618</v>
      </c>
      <c r="U213" t="n">
        <v>3642889.72638572</v>
      </c>
      <c r="V213" t="n">
        <v>4087850.986794944</v>
      </c>
      <c r="W213" t="n">
        <v>4544781.947043047</v>
      </c>
      <c r="X213" t="n">
        <v>5011106.212804624</v>
      </c>
      <c r="Y213" t="n">
        <v>5486964.845571368</v>
      </c>
      <c r="Z213" t="n">
        <v>5987375.240747428</v>
      </c>
      <c r="AA213" t="n">
        <v>6508771.415359641</v>
      </c>
      <c r="AB213" t="n">
        <v>7051956.777881473</v>
      </c>
      <c r="AC213" t="n">
        <v>7607320.151815564</v>
      </c>
      <c r="AD213" t="n">
        <v>8170049.092542661</v>
      </c>
      <c r="AE213" t="n">
        <v>8741599.454507044</v>
      </c>
      <c r="AF213" t="n">
        <v>9322078.069654573</v>
      </c>
      <c r="AG213" t="n">
        <v>9909378.795389809</v>
      </c>
      <c r="AH213" t="n">
        <v>10509646.00149762</v>
      </c>
      <c r="AI213" t="n">
        <v>11119064.85554968</v>
      </c>
      <c r="AJ213" t="n">
        <v>11740798.96400573</v>
      </c>
      <c r="AK213" t="n">
        <v>12369433.87513971</v>
      </c>
      <c r="AL213" t="n">
        <v>13005143.14107947</v>
      </c>
      <c r="AM213" t="n">
        <v>13641560.67763402</v>
      </c>
      <c r="AN213" t="n">
        <v>14283427.79564928</v>
      </c>
      <c r="AO213" t="n">
        <v>14923982.64290935</v>
      </c>
      <c r="AP213" t="n">
        <v>15567593.09101222</v>
      </c>
      <c r="AQ213" t="n">
        <v>16216064.93024206</v>
      </c>
      <c r="AR213" t="n">
        <v>16867567.35719888</v>
      </c>
      <c r="AS213" t="n">
        <v>17521618.24345117</v>
      </c>
      <c r="AT213" t="n">
        <v>18179519.92999981</v>
      </c>
      <c r="AU213" t="n">
        <v>18840525.60489396</v>
      </c>
      <c r="AV213" t="n">
        <v>19504744.52006111</v>
      </c>
      <c r="AW213" t="n">
        <v>20170509.03840379</v>
      </c>
      <c r="AX213" t="n">
        <v>20835362.96158694</v>
      </c>
      <c r="AY213" t="n">
        <v>21497446.53230674</v>
      </c>
      <c r="AZ213" t="n">
        <v>22157544.70798316</v>
      </c>
      <c r="BA213" t="n">
        <v>22815637.28767842</v>
      </c>
      <c r="BB213" t="n">
        <v>23472339.64147216</v>
      </c>
      <c r="BC213" t="n">
        <v>24127800.87478444</v>
      </c>
      <c r="BD213" t="n">
        <v>24779940.33862026</v>
      </c>
      <c r="BE213" t="n">
        <v>25430704.14427799</v>
      </c>
      <c r="BF213" t="n">
        <v>26079768.4348455</v>
      </c>
      <c r="BG213" t="n">
        <v>26727993.06214782</v>
      </c>
      <c r="BH213" t="n">
        <v>27373573.61374293</v>
      </c>
      <c r="BI213" t="n">
        <v>28019970.98418214</v>
      </c>
    </row>
    <row r="214" hidden="1" outlineLevel="2">
      <c r="A214" t="inlineStr">
        <is>
          <t>CAC Total</t>
        </is>
      </c>
      <c r="B214">
        <f t="array" ref="B214:BI214">_xlfn.LET(_xlpm.d,_xlfn.ANCHORARRAY(B195),_xlpm.roll,_xlfn.LET(_xlpm.cum,_xlfn.SCAN(0,_xlpm.d,_xlfn.LAMBDA(_xlpm.a,_xlpm.v,_xlpm.a+_xlpm.v)),_xlfn.HSTACK(_xlfn.TAKE(_xlpm.cum,,12),_xlfn.DROP(_xlpm.cum,,12)-_xlfn.TAKE(_xlpm.cum,,48))),_xlpm.d*$CP$194+_xlfn.ANCHORARRAY(B198)*Palancas!$B$9+_xlpm.d*$DB$194*$CN$194+_xlpm.roll*(($BS$194*$BP$194*$BR$194)+($BT$194*$BP$194*$BR$194*_xlfn.ANCHORARRAY(B203)))*$CO$194+IF(_xlfn.SEQUENCE(1,60)&gt;=$CU$194,_xlfn.ANCHORARRAY(B208)*$CT$194,0))</f>
        <v/>
      </c>
      <c r="C214" t="n">
        <v>822.718194</v>
      </c>
      <c r="D214" t="n">
        <v>1019.239170225</v>
      </c>
      <c r="E214" t="n">
        <v>1851.73778040375</v>
      </c>
      <c r="F214" t="n">
        <v>2251.939136225903</v>
      </c>
      <c r="G214" t="n">
        <v>3017.928568701208</v>
      </c>
      <c r="H214" t="n">
        <v>4639.706793086265</v>
      </c>
      <c r="I214" t="n">
        <v>5687.335336612702</v>
      </c>
      <c r="J214" t="n">
        <v>6744.961304437409</v>
      </c>
      <c r="K214" t="n">
        <v>7812.733758788499</v>
      </c>
      <c r="L214" t="n">
        <v>8890.803743396218</v>
      </c>
      <c r="M214" t="n">
        <v>10039.32430821676</v>
      </c>
      <c r="N214" t="n">
        <v>114838.980893902</v>
      </c>
      <c r="O214" t="n">
        <v>142409.2849852003</v>
      </c>
      <c r="P214" t="n">
        <v>174343.0540313392</v>
      </c>
      <c r="Q214" t="n">
        <v>208884.642755496</v>
      </c>
      <c r="R214" t="n">
        <v>246671.4624560933</v>
      </c>
      <c r="S214" t="n">
        <v>286011.0906392935</v>
      </c>
      <c r="T214" t="n">
        <v>326293.3417730221</v>
      </c>
      <c r="U214" t="n">
        <v>367117.3297719327</v>
      </c>
      <c r="V214" t="n">
        <v>408943.5387440979</v>
      </c>
      <c r="W214" t="n">
        <v>451724.2345522705</v>
      </c>
      <c r="X214" t="n">
        <v>495475.7767359758</v>
      </c>
      <c r="Y214" t="n">
        <v>540214.795872696</v>
      </c>
      <c r="Z214" t="n">
        <v>589155.7523003278</v>
      </c>
      <c r="AA214" t="n">
        <v>639043.9392456665</v>
      </c>
      <c r="AB214" t="n">
        <v>691100.8551794915</v>
      </c>
      <c r="AC214" t="n">
        <v>743655.7320270021</v>
      </c>
      <c r="AD214" t="n">
        <v>797199.3117766446</v>
      </c>
      <c r="AE214" t="n">
        <v>851479.3640845137</v>
      </c>
      <c r="AF214" t="n">
        <v>906698.3137092195</v>
      </c>
      <c r="AG214" t="n">
        <v>962809.9144235572</v>
      </c>
      <c r="AH214" t="n">
        <v>1020041.339349344</v>
      </c>
      <c r="AI214" t="n">
        <v>1078481.455214961</v>
      </c>
      <c r="AJ214" t="n">
        <v>1138007.376992624</v>
      </c>
      <c r="AK214" t="n">
        <v>1198080.605649827</v>
      </c>
      <c r="AL214" t="n">
        <v>1258067.675859617</v>
      </c>
      <c r="AM214" t="n">
        <v>1318226.2505637</v>
      </c>
      <c r="AN214" t="n">
        <v>1378766.220497111</v>
      </c>
      <c r="AO214" t="n">
        <v>1439465.058796367</v>
      </c>
      <c r="AP214" t="n">
        <v>1500683.511877737</v>
      </c>
      <c r="AQ214" t="n">
        <v>1562228.159865503</v>
      </c>
      <c r="AR214" t="n">
        <v>1624313.023642235</v>
      </c>
      <c r="AS214" t="n">
        <v>1686558.759043057</v>
      </c>
      <c r="AT214" t="n">
        <v>1749335.581747414</v>
      </c>
      <c r="AU214" t="n">
        <v>1812602.389408927</v>
      </c>
      <c r="AV214" t="n">
        <v>1876268.366764425</v>
      </c>
      <c r="AW214" t="n">
        <v>1939954.463752819</v>
      </c>
      <c r="AX214" t="n">
        <v>2003638.848029257</v>
      </c>
      <c r="AY214" t="n">
        <v>2066994.661353951</v>
      </c>
      <c r="AZ214" t="n">
        <v>2130252.189746589</v>
      </c>
      <c r="BA214" t="n">
        <v>2193402.190391159</v>
      </c>
      <c r="BB214" t="n">
        <v>2256598.497000019</v>
      </c>
      <c r="BC214" t="n">
        <v>2319670.408739128</v>
      </c>
      <c r="BD214" t="n">
        <v>2382607.888825745</v>
      </c>
      <c r="BE214" t="n">
        <v>2445567.656045157</v>
      </c>
      <c r="BF214" t="n">
        <v>2508374.563871342</v>
      </c>
      <c r="BG214" t="n">
        <v>2571187.303159086</v>
      </c>
      <c r="BH214" t="n">
        <v>2633998.538323113</v>
      </c>
      <c r="BI214" t="n">
        <v>2696800.701699507</v>
      </c>
    </row>
    <row r="215" hidden="1" outlineLevel="2">
      <c r="A215" t="inlineStr">
        <is>
          <t>Stepup Count</t>
        </is>
      </c>
      <c r="B215" t="n">
        <v>0</v>
      </c>
      <c r="C215">
        <f>IF(INT((COLUMN()-2)/6)+1&gt;INT((COLUMN()-3)/6)+1,IF(B217&gt;0,B215+1,B215),B215)</f>
        <v/>
      </c>
      <c r="D215">
        <f>IF(INT((COLUMN()-2)/6)+1&gt;INT((COLUMN()-3)/6)+1,IF(C217&gt;0,C215+1,C215),C215)</f>
        <v/>
      </c>
      <c r="E215">
        <f>IF(INT((COLUMN()-2)/6)+1&gt;INT((COLUMN()-3)/6)+1,IF(D217&gt;0,D215+1,D215),D215)</f>
        <v/>
      </c>
      <c r="F215">
        <f>IF(INT((COLUMN()-2)/6)+1&gt;INT((COLUMN()-3)/6)+1,IF(E217&gt;0,E215+1,E215),E215)</f>
        <v/>
      </c>
      <c r="G215">
        <f>IF(INT((COLUMN()-2)/6)+1&gt;INT((COLUMN()-3)/6)+1,IF(F217&gt;0,F215+1,F215),F215)</f>
        <v/>
      </c>
      <c r="H215">
        <f>IF(INT((COLUMN()-2)/6)+1&gt;INT((COLUMN()-3)/6)+1,IF(G217&gt;0,G215+1,G215),G215)</f>
        <v/>
      </c>
      <c r="I215">
        <f>IF(INT((COLUMN()-2)/6)+1&gt;INT((COLUMN()-3)/6)+1,IF(H217&gt;0,H215+1,H215),H215)</f>
        <v/>
      </c>
      <c r="J215">
        <f>IF(INT((COLUMN()-2)/6)+1&gt;INT((COLUMN()-3)/6)+1,IF(I217&gt;0,I215+1,I215),I215)</f>
        <v/>
      </c>
      <c r="K215">
        <f>IF(INT((COLUMN()-2)/6)+1&gt;INT((COLUMN()-3)/6)+1,IF(J217&gt;0,J215+1,J215),J215)</f>
        <v/>
      </c>
      <c r="L215">
        <f>IF(INT((COLUMN()-2)/6)+1&gt;INT((COLUMN()-3)/6)+1,IF(K217&gt;0,K215+1,K215),K215)</f>
        <v/>
      </c>
      <c r="M215">
        <f>IF(INT((COLUMN()-2)/6)+1&gt;INT((COLUMN()-3)/6)+1,IF(L217&gt;0,L215+1,L215),L215)</f>
        <v/>
      </c>
      <c r="N215">
        <f>IF(INT((COLUMN()-2)/6)+1&gt;INT((COLUMN()-3)/6)+1,IF(M217&gt;0,M215+1,M215),M215)</f>
        <v/>
      </c>
      <c r="O215">
        <f>IF(INT((COLUMN()-2)/6)+1&gt;INT((COLUMN()-3)/6)+1,IF(N217&gt;0,N215+1,N215),N215)</f>
        <v/>
      </c>
      <c r="P215">
        <f>IF(INT((COLUMN()-2)/6)+1&gt;INT((COLUMN()-3)/6)+1,IF(O217&gt;0,O215+1,O215),O215)</f>
        <v/>
      </c>
      <c r="Q215">
        <f>IF(INT((COLUMN()-2)/6)+1&gt;INT((COLUMN()-3)/6)+1,IF(P217&gt;0,P215+1,P215),P215)</f>
        <v/>
      </c>
      <c r="R215">
        <f>IF(INT((COLUMN()-2)/6)+1&gt;INT((COLUMN()-3)/6)+1,IF(Q217&gt;0,Q215+1,Q215),Q215)</f>
        <v/>
      </c>
      <c r="S215">
        <f>IF(INT((COLUMN()-2)/6)+1&gt;INT((COLUMN()-3)/6)+1,IF(R217&gt;0,R215+1,R215),R215)</f>
        <v/>
      </c>
      <c r="T215">
        <f>IF(INT((COLUMN()-2)/6)+1&gt;INT((COLUMN()-3)/6)+1,IF(S217&gt;0,S215+1,S215),S215)</f>
        <v/>
      </c>
      <c r="U215">
        <f>IF(INT((COLUMN()-2)/6)+1&gt;INT((COLUMN()-3)/6)+1,IF(T217&gt;0,T215+1,T215),T215)</f>
        <v/>
      </c>
      <c r="V215">
        <f>IF(INT((COLUMN()-2)/6)+1&gt;INT((COLUMN()-3)/6)+1,IF(U217&gt;0,U215+1,U215),U215)</f>
        <v/>
      </c>
      <c r="W215">
        <f>IF(INT((COLUMN()-2)/6)+1&gt;INT((COLUMN()-3)/6)+1,IF(V217&gt;0,V215+1,V215),V215)</f>
        <v/>
      </c>
      <c r="X215">
        <f>IF(INT((COLUMN()-2)/6)+1&gt;INT((COLUMN()-3)/6)+1,IF(W217&gt;0,W215+1,W215),W215)</f>
        <v/>
      </c>
      <c r="Y215">
        <f>IF(INT((COLUMN()-2)/6)+1&gt;INT((COLUMN()-3)/6)+1,IF(X217&gt;0,X215+1,X215),X215)</f>
        <v/>
      </c>
      <c r="Z215">
        <f>IF(INT((COLUMN()-2)/6)+1&gt;INT((COLUMN()-3)/6)+1,IF(Y217&gt;0,Y215+1,Y215),Y215)</f>
        <v/>
      </c>
      <c r="AA215">
        <f>IF(INT((COLUMN()-2)/6)+1&gt;INT((COLUMN()-3)/6)+1,IF(Z217&gt;0,Z215+1,Z215),Z215)</f>
        <v/>
      </c>
      <c r="AB215">
        <f>IF(INT((COLUMN()-2)/6)+1&gt;INT((COLUMN()-3)/6)+1,IF(AA217&gt;0,AA215+1,AA215),AA215)</f>
        <v/>
      </c>
      <c r="AC215">
        <f>IF(INT((COLUMN()-2)/6)+1&gt;INT((COLUMN()-3)/6)+1,IF(AB217&gt;0,AB215+1,AB215),AB215)</f>
        <v/>
      </c>
      <c r="AD215">
        <f>IF(INT((COLUMN()-2)/6)+1&gt;INT((COLUMN()-3)/6)+1,IF(AC217&gt;0,AC215+1,AC215),AC215)</f>
        <v/>
      </c>
      <c r="AE215">
        <f>IF(INT((COLUMN()-2)/6)+1&gt;INT((COLUMN()-3)/6)+1,IF(AD217&gt;0,AD215+1,AD215),AD215)</f>
        <v/>
      </c>
      <c r="AF215">
        <f>IF(INT((COLUMN()-2)/6)+1&gt;INT((COLUMN()-3)/6)+1,IF(AE217&gt;0,AE215+1,AE215),AE215)</f>
        <v/>
      </c>
      <c r="AG215">
        <f>IF(INT((COLUMN()-2)/6)+1&gt;INT((COLUMN()-3)/6)+1,IF(AF217&gt;0,AF215+1,AF215),AF215)</f>
        <v/>
      </c>
      <c r="AH215">
        <f>IF(INT((COLUMN()-2)/6)+1&gt;INT((COLUMN()-3)/6)+1,IF(AG217&gt;0,AG215+1,AG215),AG215)</f>
        <v/>
      </c>
      <c r="AI215">
        <f>IF(INT((COLUMN()-2)/6)+1&gt;INT((COLUMN()-3)/6)+1,IF(AH217&gt;0,AH215+1,AH215),AH215)</f>
        <v/>
      </c>
      <c r="AJ215">
        <f>IF(INT((COLUMN()-2)/6)+1&gt;INT((COLUMN()-3)/6)+1,IF(AI217&gt;0,AI215+1,AI215),AI215)</f>
        <v/>
      </c>
      <c r="AK215">
        <f>IF(INT((COLUMN()-2)/6)+1&gt;INT((COLUMN()-3)/6)+1,IF(AJ217&gt;0,AJ215+1,AJ215),AJ215)</f>
        <v/>
      </c>
      <c r="AL215">
        <f>IF(INT((COLUMN()-2)/6)+1&gt;INT((COLUMN()-3)/6)+1,IF(AK217&gt;0,AK215+1,AK215),AK215)</f>
        <v/>
      </c>
      <c r="AM215">
        <f>IF(INT((COLUMN()-2)/6)+1&gt;INT((COLUMN()-3)/6)+1,IF(AL217&gt;0,AL215+1,AL215),AL215)</f>
        <v/>
      </c>
      <c r="AN215">
        <f>IF(INT((COLUMN()-2)/6)+1&gt;INT((COLUMN()-3)/6)+1,IF(AM217&gt;0,AM215+1,AM215),AM215)</f>
        <v/>
      </c>
      <c r="AO215">
        <f>IF(INT((COLUMN()-2)/6)+1&gt;INT((COLUMN()-3)/6)+1,IF(AN217&gt;0,AN215+1,AN215),AN215)</f>
        <v/>
      </c>
      <c r="AP215">
        <f>IF(INT((COLUMN()-2)/6)+1&gt;INT((COLUMN()-3)/6)+1,IF(AO217&gt;0,AO215+1,AO215),AO215)</f>
        <v/>
      </c>
      <c r="AQ215">
        <f>IF(INT((COLUMN()-2)/6)+1&gt;INT((COLUMN()-3)/6)+1,IF(AP217&gt;0,AP215+1,AP215),AP215)</f>
        <v/>
      </c>
      <c r="AR215">
        <f>IF(INT((COLUMN()-2)/6)+1&gt;INT((COLUMN()-3)/6)+1,IF(AQ217&gt;0,AQ215+1,AQ215),AQ215)</f>
        <v/>
      </c>
      <c r="AS215">
        <f>IF(INT((COLUMN()-2)/6)+1&gt;INT((COLUMN()-3)/6)+1,IF(AR217&gt;0,AR215+1,AR215),AR215)</f>
        <v/>
      </c>
      <c r="AT215">
        <f>IF(INT((COLUMN()-2)/6)+1&gt;INT((COLUMN()-3)/6)+1,IF(AS217&gt;0,AS215+1,AS215),AS215)</f>
        <v/>
      </c>
      <c r="AU215">
        <f>IF(INT((COLUMN()-2)/6)+1&gt;INT((COLUMN()-3)/6)+1,IF(AT217&gt;0,AT215+1,AT215),AT215)</f>
        <v/>
      </c>
      <c r="AV215">
        <f>IF(INT((COLUMN()-2)/6)+1&gt;INT((COLUMN()-3)/6)+1,IF(AU217&gt;0,AU215+1,AU215),AU215)</f>
        <v/>
      </c>
      <c r="AW215">
        <f>IF(INT((COLUMN()-2)/6)+1&gt;INT((COLUMN()-3)/6)+1,IF(AV217&gt;0,AV215+1,AV215),AV215)</f>
        <v/>
      </c>
      <c r="AX215">
        <f>IF(INT((COLUMN()-2)/6)+1&gt;INT((COLUMN()-3)/6)+1,IF(AW217&gt;0,AW215+1,AW215),AW215)</f>
        <v/>
      </c>
      <c r="AY215">
        <f>IF(INT((COLUMN()-2)/6)+1&gt;INT((COLUMN()-3)/6)+1,IF(AX217&gt;0,AX215+1,AX215),AX215)</f>
        <v/>
      </c>
      <c r="AZ215">
        <f>IF(INT((COLUMN()-2)/6)+1&gt;INT((COLUMN()-3)/6)+1,IF(AY217&gt;0,AY215+1,AY215),AY215)</f>
        <v/>
      </c>
      <c r="BA215">
        <f>IF(INT((COLUMN()-2)/6)+1&gt;INT((COLUMN()-3)/6)+1,IF(AZ217&gt;0,AZ215+1,AZ215),AZ215)</f>
        <v/>
      </c>
      <c r="BB215">
        <f>IF(INT((COLUMN()-2)/6)+1&gt;INT((COLUMN()-3)/6)+1,IF(BA217&gt;0,BA215+1,BA215),BA215)</f>
        <v/>
      </c>
      <c r="BC215">
        <f>IF(INT((COLUMN()-2)/6)+1&gt;INT((COLUMN()-3)/6)+1,IF(BB217&gt;0,BB215+1,BB215),BB215)</f>
        <v/>
      </c>
      <c r="BD215">
        <f>IF(INT((COLUMN()-2)/6)+1&gt;INT((COLUMN()-3)/6)+1,IF(BC217&gt;0,BC215+1,BC215),BC215)</f>
        <v/>
      </c>
      <c r="BE215">
        <f>IF(INT((COLUMN()-2)/6)+1&gt;INT((COLUMN()-3)/6)+1,IF(BD217&gt;0,BD215+1,BD215),BD215)</f>
        <v/>
      </c>
      <c r="BF215">
        <f>IF(INT((COLUMN()-2)/6)+1&gt;INT((COLUMN()-3)/6)+1,IF(BE217&gt;0,BE215+1,BE215),BE215)</f>
        <v/>
      </c>
      <c r="BG215">
        <f>IF(INT((COLUMN()-2)/6)+1&gt;INT((COLUMN()-3)/6)+1,IF(BF217&gt;0,BF215+1,BF215),BF215)</f>
        <v/>
      </c>
      <c r="BH215">
        <f>IF(INT((COLUMN()-2)/6)+1&gt;INT((COLUMN()-3)/6)+1,IF(BG217&gt;0,BG215+1,BG215),BG215)</f>
        <v/>
      </c>
      <c r="BI215">
        <f>IF(INT((COLUMN()-2)/6)+1&gt;INT((COLUMN()-3)/6)+1,IF(BH217&gt;0,BH215+1,BH215),BH215)</f>
        <v/>
      </c>
    </row>
    <row r="216" hidden="1" outlineLevel="2">
      <c r="A216" t="inlineStr">
        <is>
          <t>OPEX Total</t>
        </is>
      </c>
      <c r="B216">
        <f>$CW$194*$CA$194*(1+$CB$194)^B215+MIN(15000,3000+MAX(0,FLOOR(B200/100,1))*1000)+$CX$194</f>
        <v/>
      </c>
      <c r="C216">
        <f>$CW$194*$CA$194*(1+$CB$194)^C215+MIN(15000,3000+MAX(0,FLOOR(C200/100,1))*1000)+$CX$194</f>
        <v/>
      </c>
      <c r="D216">
        <f>$CW$194*$CA$194*(1+$CB$194)^D215+MIN(15000,3000+MAX(0,FLOOR(D200/100,1))*1000)+$CX$194</f>
        <v/>
      </c>
      <c r="E216">
        <f>$CW$194*$CA$194*(1+$CB$194)^E215+MIN(15000,3000+MAX(0,FLOOR(E200/100,1))*1000)+$CX$194</f>
        <v/>
      </c>
      <c r="F216">
        <f>$CW$194*$CA$194*(1+$CB$194)^F215+MIN(15000,3000+MAX(0,FLOOR(F200/100,1))*1000)+$CX$194</f>
        <v/>
      </c>
      <c r="G216">
        <f>$CW$194*$CA$194*(1+$CB$194)^G215+MIN(15000,3000+MAX(0,FLOOR(G200/100,1))*1000)+$CX$194</f>
        <v/>
      </c>
      <c r="H216">
        <f>$CW$194*$CA$194*(1+$CB$194)^H215+MIN(15000,3000+MAX(0,FLOOR(H200/100,1))*1000)+$CX$194</f>
        <v/>
      </c>
      <c r="I216">
        <f>$CW$194*$CA$194*(1+$CB$194)^I215+MIN(15000,3000+MAX(0,FLOOR(I200/100,1))*1000)+$CX$194</f>
        <v/>
      </c>
      <c r="J216">
        <f>$CW$194*$CA$194*(1+$CB$194)^J215+MIN(15000,3000+MAX(0,FLOOR(J200/100,1))*1000)+$CX$194</f>
        <v/>
      </c>
      <c r="K216">
        <f>$CW$194*$CA$194*(1+$CB$194)^K215+MIN(15000,3000+MAX(0,FLOOR(K200/100,1))*1000)+$CX$194</f>
        <v/>
      </c>
      <c r="L216">
        <f>$CW$194*$CA$194*(1+$CB$194)^L215+MIN(15000,3000+MAX(0,FLOOR(L200/100,1))*1000)+$CX$194</f>
        <v/>
      </c>
      <c r="M216">
        <f>$CW$194*$CA$194*(1+$CB$194)^M215+MIN(15000,3000+MAX(0,FLOOR(M200/100,1))*1000)+$CX$194</f>
        <v/>
      </c>
      <c r="N216">
        <f>$CW$194*$CA$194*(1+$CB$194)^N215+MIN(15000,3000+MAX(0,FLOOR(N200/100,1))*1000)+$CX$194</f>
        <v/>
      </c>
      <c r="O216">
        <f>$CW$194*$CA$194*(1+$CB$194)^O215+MIN(15000,3000+MAX(0,FLOOR(O200/100,1))*1000)+$CX$194</f>
        <v/>
      </c>
      <c r="P216">
        <f>$CW$194*$CA$194*(1+$CB$194)^P215+MIN(15000,3000+MAX(0,FLOOR(P200/100,1))*1000)+$CX$194</f>
        <v/>
      </c>
      <c r="Q216">
        <f>$CW$194*$CA$194*(1+$CB$194)^Q215+MIN(15000,3000+MAX(0,FLOOR(Q200/100,1))*1000)+$CX$194</f>
        <v/>
      </c>
      <c r="R216">
        <f>$CW$194*$CA$194*(1+$CB$194)^R215+MIN(15000,3000+MAX(0,FLOOR(R200/100,1))*1000)+$CX$194</f>
        <v/>
      </c>
      <c r="S216">
        <f>$CW$194*$CA$194*(1+$CB$194)^S215+MIN(15000,3000+MAX(0,FLOOR(S200/100,1))*1000)+$CX$194</f>
        <v/>
      </c>
      <c r="T216">
        <f>$CW$194*$CA$194*(1+$CB$194)^T215+MIN(15000,3000+MAX(0,FLOOR(T200/100,1))*1000)+$CX$194</f>
        <v/>
      </c>
      <c r="U216">
        <f>$CW$194*$CA$194*(1+$CB$194)^U215+MIN(15000,3000+MAX(0,FLOOR(U200/100,1))*1000)+$CX$194</f>
        <v/>
      </c>
      <c r="V216">
        <f>$CW$194*$CA$194*(1+$CB$194)^V215+MIN(15000,3000+MAX(0,FLOOR(V200/100,1))*1000)+$CX$194</f>
        <v/>
      </c>
      <c r="W216">
        <f>$CW$194*$CA$194*(1+$CB$194)^W215+MIN(15000,3000+MAX(0,FLOOR(W200/100,1))*1000)+$CX$194</f>
        <v/>
      </c>
      <c r="X216">
        <f>$CW$194*$CA$194*(1+$CB$194)^X215+MIN(15000,3000+MAX(0,FLOOR(X200/100,1))*1000)+$CX$194</f>
        <v/>
      </c>
      <c r="Y216">
        <f>$CW$194*$CA$194*(1+$CB$194)^Y215+MIN(15000,3000+MAX(0,FLOOR(Y200/100,1))*1000)+$CX$194</f>
        <v/>
      </c>
      <c r="Z216">
        <f>$CW$194*$CA$194*(1+$CB$194)^Z215+MIN(15000,3000+MAX(0,FLOOR(Z200/100,1))*1000)+$CX$194</f>
        <v/>
      </c>
      <c r="AA216">
        <f>$CW$194*$CA$194*(1+$CB$194)^AA215+MIN(15000,3000+MAX(0,FLOOR(AA200/100,1))*1000)+$CX$194</f>
        <v/>
      </c>
      <c r="AB216">
        <f>$CW$194*$CA$194*(1+$CB$194)^AB215+MIN(15000,3000+MAX(0,FLOOR(AB200/100,1))*1000)+$CX$194</f>
        <v/>
      </c>
      <c r="AC216">
        <f>$CW$194*$CA$194*(1+$CB$194)^AC215+MIN(15000,3000+MAX(0,FLOOR(AC200/100,1))*1000)+$CX$194</f>
        <v/>
      </c>
      <c r="AD216">
        <f>$CW$194*$CA$194*(1+$CB$194)^AD215+MIN(15000,3000+MAX(0,FLOOR(AD200/100,1))*1000)+$CX$194</f>
        <v/>
      </c>
      <c r="AE216">
        <f>$CW$194*$CA$194*(1+$CB$194)^AE215+MIN(15000,3000+MAX(0,FLOOR(AE200/100,1))*1000)+$CX$194</f>
        <v/>
      </c>
      <c r="AF216">
        <f>$CW$194*$CA$194*(1+$CB$194)^AF215+MIN(15000,3000+MAX(0,FLOOR(AF200/100,1))*1000)+$CX$194</f>
        <v/>
      </c>
      <c r="AG216">
        <f>$CW$194*$CA$194*(1+$CB$194)^AG215+MIN(15000,3000+MAX(0,FLOOR(AG200/100,1))*1000)+$CX$194</f>
        <v/>
      </c>
      <c r="AH216">
        <f>$CW$194*$CA$194*(1+$CB$194)^AH215+MIN(15000,3000+MAX(0,FLOOR(AH200/100,1))*1000)+$CX$194</f>
        <v/>
      </c>
      <c r="AI216">
        <f>$CW$194*$CA$194*(1+$CB$194)^AI215+MIN(15000,3000+MAX(0,FLOOR(AI200/100,1))*1000)+$CX$194</f>
        <v/>
      </c>
      <c r="AJ216">
        <f>$CW$194*$CA$194*(1+$CB$194)^AJ215+MIN(15000,3000+MAX(0,FLOOR(AJ200/100,1))*1000)+$CX$194</f>
        <v/>
      </c>
      <c r="AK216">
        <f>$CW$194*$CA$194*(1+$CB$194)^AK215+MIN(15000,3000+MAX(0,FLOOR(AK200/100,1))*1000)+$CX$194</f>
        <v/>
      </c>
      <c r="AL216">
        <f>$CW$194*$CA$194*(1+$CB$194)^AL215+MIN(15000,3000+MAX(0,FLOOR(AL200/100,1))*1000)+$CX$194</f>
        <v/>
      </c>
      <c r="AM216">
        <f>$CW$194*$CA$194*(1+$CB$194)^AM215+MIN(15000,3000+MAX(0,FLOOR(AM200/100,1))*1000)+$CX$194</f>
        <v/>
      </c>
      <c r="AN216">
        <f>$CW$194*$CA$194*(1+$CB$194)^AN215+MIN(15000,3000+MAX(0,FLOOR(AN200/100,1))*1000)+$CX$194</f>
        <v/>
      </c>
      <c r="AO216">
        <f>$CW$194*$CA$194*(1+$CB$194)^AO215+MIN(15000,3000+MAX(0,FLOOR(AO200/100,1))*1000)+$CX$194</f>
        <v/>
      </c>
      <c r="AP216">
        <f>$CW$194*$CA$194*(1+$CB$194)^AP215+MIN(15000,3000+MAX(0,FLOOR(AP200/100,1))*1000)+$CX$194</f>
        <v/>
      </c>
      <c r="AQ216">
        <f>$CW$194*$CA$194*(1+$CB$194)^AQ215+MIN(15000,3000+MAX(0,FLOOR(AQ200/100,1))*1000)+$CX$194</f>
        <v/>
      </c>
      <c r="AR216">
        <f>$CW$194*$CA$194*(1+$CB$194)^AR215+MIN(15000,3000+MAX(0,FLOOR(AR200/100,1))*1000)+$CX$194</f>
        <v/>
      </c>
      <c r="AS216">
        <f>$CW$194*$CA$194*(1+$CB$194)^AS215+MIN(15000,3000+MAX(0,FLOOR(AS200/100,1))*1000)+$CX$194</f>
        <v/>
      </c>
      <c r="AT216">
        <f>$CW$194*$CA$194*(1+$CB$194)^AT215+MIN(15000,3000+MAX(0,FLOOR(AT200/100,1))*1000)+$CX$194</f>
        <v/>
      </c>
      <c r="AU216">
        <f>$CW$194*$CA$194*(1+$CB$194)^AU215+MIN(15000,3000+MAX(0,FLOOR(AU200/100,1))*1000)+$CX$194</f>
        <v/>
      </c>
      <c r="AV216">
        <f>$CW$194*$CA$194*(1+$CB$194)^AV215+MIN(15000,3000+MAX(0,FLOOR(AV200/100,1))*1000)+$CX$194</f>
        <v/>
      </c>
      <c r="AW216">
        <f>$CW$194*$CA$194*(1+$CB$194)^AW215+MIN(15000,3000+MAX(0,FLOOR(AW200/100,1))*1000)+$CX$194</f>
        <v/>
      </c>
      <c r="AX216">
        <f>$CW$194*$CA$194*(1+$CB$194)^AX215+MIN(15000,3000+MAX(0,FLOOR(AX200/100,1))*1000)+$CX$194</f>
        <v/>
      </c>
      <c r="AY216">
        <f>$CW$194*$CA$194*(1+$CB$194)^AY215+MIN(15000,3000+MAX(0,FLOOR(AY200/100,1))*1000)+$CX$194</f>
        <v/>
      </c>
      <c r="AZ216">
        <f>$CW$194*$CA$194*(1+$CB$194)^AZ215+MIN(15000,3000+MAX(0,FLOOR(AZ200/100,1))*1000)+$CX$194</f>
        <v/>
      </c>
      <c r="BA216">
        <f>$CW$194*$CA$194*(1+$CB$194)^BA215+MIN(15000,3000+MAX(0,FLOOR(BA200/100,1))*1000)+$CX$194</f>
        <v/>
      </c>
      <c r="BB216">
        <f>$CW$194*$CA$194*(1+$CB$194)^BB215+MIN(15000,3000+MAX(0,FLOOR(BB200/100,1))*1000)+$CX$194</f>
        <v/>
      </c>
      <c r="BC216">
        <f>$CW$194*$CA$194*(1+$CB$194)^BC215+MIN(15000,3000+MAX(0,FLOOR(BC200/100,1))*1000)+$CX$194</f>
        <v/>
      </c>
      <c r="BD216">
        <f>$CW$194*$CA$194*(1+$CB$194)^BD215+MIN(15000,3000+MAX(0,FLOOR(BD200/100,1))*1000)+$CX$194</f>
        <v/>
      </c>
      <c r="BE216">
        <f>$CW$194*$CA$194*(1+$CB$194)^BE215+MIN(15000,3000+MAX(0,FLOOR(BE200/100,1))*1000)+$CX$194</f>
        <v/>
      </c>
      <c r="BF216">
        <f>$CW$194*$CA$194*(1+$CB$194)^BF215+MIN(15000,3000+MAX(0,FLOOR(BF200/100,1))*1000)+$CX$194</f>
        <v/>
      </c>
      <c r="BG216">
        <f>$CW$194*$CA$194*(1+$CB$194)^BG215+MIN(15000,3000+MAX(0,FLOOR(BG200/100,1))*1000)+$CX$194</f>
        <v/>
      </c>
      <c r="BH216">
        <f>$CW$194*$CA$194*(1+$CB$194)^BH215+MIN(15000,3000+MAX(0,FLOOR(BH200/100,1))*1000)+$CX$194</f>
        <v/>
      </c>
      <c r="BI216">
        <f>$CW$194*$CA$194*(1+$CB$194)^BI215+MIN(15000,3000+MAX(0,FLOOR(BI200/100,1))*1000)+$CX$194</f>
        <v/>
      </c>
    </row>
    <row r="217" hidden="1" outlineLevel="2">
      <c r="A217" t="inlineStr">
        <is>
          <t>EBITDA</t>
        </is>
      </c>
      <c r="B217">
        <f>B208-B213-B214-B216</f>
        <v/>
      </c>
      <c r="C217">
        <f>C208-C213-C214-C216</f>
        <v/>
      </c>
      <c r="D217">
        <f>D208-D213-D214-D216</f>
        <v/>
      </c>
      <c r="E217">
        <f>E208-E213-E214-E216</f>
        <v/>
      </c>
      <c r="F217">
        <f>F208-F213-F214-F216</f>
        <v/>
      </c>
      <c r="G217">
        <f>G208-G213-G214-G216</f>
        <v/>
      </c>
      <c r="H217">
        <f>H208-H213-H214-H216</f>
        <v/>
      </c>
      <c r="I217">
        <f>I208-I213-I214-I216</f>
        <v/>
      </c>
      <c r="J217">
        <f>J208-J213-J214-J216</f>
        <v/>
      </c>
      <c r="K217">
        <f>K208-K213-K214-K216</f>
        <v/>
      </c>
      <c r="L217">
        <f>L208-L213-L214-L216</f>
        <v/>
      </c>
      <c r="M217">
        <f>M208-M213-M214-M216</f>
        <v/>
      </c>
      <c r="N217">
        <f>N208-N213-N214-N216</f>
        <v/>
      </c>
      <c r="O217">
        <f>O208-O213-O214-O216</f>
        <v/>
      </c>
      <c r="P217">
        <f>P208-P213-P214-P216</f>
        <v/>
      </c>
      <c r="Q217">
        <f>Q208-Q213-Q214-Q216</f>
        <v/>
      </c>
      <c r="R217">
        <f>R208-R213-R214-R216</f>
        <v/>
      </c>
      <c r="S217">
        <f>S208-S213-S214-S216</f>
        <v/>
      </c>
      <c r="T217">
        <f>T208-T213-T214-T216</f>
        <v/>
      </c>
      <c r="U217">
        <f>U208-U213-U214-U216</f>
        <v/>
      </c>
      <c r="V217">
        <f>V208-V213-V214-V216</f>
        <v/>
      </c>
      <c r="W217">
        <f>W208-W213-W214-W216</f>
        <v/>
      </c>
      <c r="X217">
        <f>X208-X213-X214-X216</f>
        <v/>
      </c>
      <c r="Y217">
        <f>Y208-Y213-Y214-Y216</f>
        <v/>
      </c>
      <c r="Z217">
        <f>Z208-Z213-Z214-Z216</f>
        <v/>
      </c>
      <c r="AA217">
        <f>AA208-AA213-AA214-AA216</f>
        <v/>
      </c>
      <c r="AB217">
        <f>AB208-AB213-AB214-AB216</f>
        <v/>
      </c>
      <c r="AC217">
        <f>AC208-AC213-AC214-AC216</f>
        <v/>
      </c>
      <c r="AD217">
        <f>AD208-AD213-AD214-AD216</f>
        <v/>
      </c>
      <c r="AE217">
        <f>AE208-AE213-AE214-AE216</f>
        <v/>
      </c>
      <c r="AF217">
        <f>AF208-AF213-AF214-AF216</f>
        <v/>
      </c>
      <c r="AG217">
        <f>AG208-AG213-AG214-AG216</f>
        <v/>
      </c>
      <c r="AH217">
        <f>AH208-AH213-AH214-AH216</f>
        <v/>
      </c>
      <c r="AI217">
        <f>AI208-AI213-AI214-AI216</f>
        <v/>
      </c>
      <c r="AJ217">
        <f>AJ208-AJ213-AJ214-AJ216</f>
        <v/>
      </c>
      <c r="AK217">
        <f>AK208-AK213-AK214-AK216</f>
        <v/>
      </c>
      <c r="AL217">
        <f>AL208-AL213-AL214-AL216</f>
        <v/>
      </c>
      <c r="AM217">
        <f>AM208-AM213-AM214-AM216</f>
        <v/>
      </c>
      <c r="AN217">
        <f>AN208-AN213-AN214-AN216</f>
        <v/>
      </c>
      <c r="AO217">
        <f>AO208-AO213-AO214-AO216</f>
        <v/>
      </c>
      <c r="AP217">
        <f>AP208-AP213-AP214-AP216</f>
        <v/>
      </c>
      <c r="AQ217">
        <f>AQ208-AQ213-AQ214-AQ216</f>
        <v/>
      </c>
      <c r="AR217">
        <f>AR208-AR213-AR214-AR216</f>
        <v/>
      </c>
      <c r="AS217">
        <f>AS208-AS213-AS214-AS216</f>
        <v/>
      </c>
      <c r="AT217">
        <f>AT208-AT213-AT214-AT216</f>
        <v/>
      </c>
      <c r="AU217">
        <f>AU208-AU213-AU214-AU216</f>
        <v/>
      </c>
      <c r="AV217">
        <f>AV208-AV213-AV214-AV216</f>
        <v/>
      </c>
      <c r="AW217">
        <f>AW208-AW213-AW214-AW216</f>
        <v/>
      </c>
      <c r="AX217">
        <f>AX208-AX213-AX214-AX216</f>
        <v/>
      </c>
      <c r="AY217">
        <f>AY208-AY213-AY214-AY216</f>
        <v/>
      </c>
      <c r="AZ217">
        <f>AZ208-AZ213-AZ214-AZ216</f>
        <v/>
      </c>
      <c r="BA217">
        <f>BA208-BA213-BA214-BA216</f>
        <v/>
      </c>
      <c r="BB217">
        <f>BB208-BB213-BB214-BB216</f>
        <v/>
      </c>
      <c r="BC217">
        <f>BC208-BC213-BC214-BC216</f>
        <v/>
      </c>
      <c r="BD217">
        <f>BD208-BD213-BD214-BD216</f>
        <v/>
      </c>
      <c r="BE217">
        <f>BE208-BE213-BE214-BE216</f>
        <v/>
      </c>
      <c r="BF217">
        <f>BF208-BF213-BF214-BF216</f>
        <v/>
      </c>
      <c r="BG217">
        <f>BG208-BG213-BG214-BG216</f>
        <v/>
      </c>
      <c r="BH217">
        <f>BH208-BH213-BH214-BH216</f>
        <v/>
      </c>
      <c r="BI217">
        <f>BI208-BI213-BI214-BI216</f>
        <v/>
      </c>
    </row>
    <row r="218" hidden="1" outlineLevel="2">
      <c r="A218" t="inlineStr">
        <is>
          <t>Net Income</t>
        </is>
      </c>
      <c r="B218">
        <f t="array" ref="B218:BI218">B217:BI217-IF(B217:BI217&gt;0,B217:BI217*$CZ$194,0)</f>
        <v/>
      </c>
      <c r="C218" t="n">
        <v>-62529.03168525</v>
      </c>
      <c r="D218" t="n">
        <v>-50047.25658531251</v>
      </c>
      <c r="E218" t="n">
        <v>-34835.95356707188</v>
      </c>
      <c r="F218" t="n">
        <v>-16942.72748058528</v>
      </c>
      <c r="G218" t="n">
        <v>11213.93259279996</v>
      </c>
      <c r="H218" t="n">
        <v>43751.38376261778</v>
      </c>
      <c r="I218" t="n">
        <v>101392.2615145843</v>
      </c>
      <c r="J218" t="n">
        <v>172670.9246465657</v>
      </c>
      <c r="K218" t="n">
        <v>253164.3016038838</v>
      </c>
      <c r="L218" t="n">
        <v>346172.2849922342</v>
      </c>
      <c r="M218" t="n">
        <v>452793.6726708277</v>
      </c>
      <c r="N218" t="n">
        <v>516332.9820402742</v>
      </c>
      <c r="O218" t="n">
        <v>659977.5107634775</v>
      </c>
      <c r="P218" t="n">
        <v>826758.0778750491</v>
      </c>
      <c r="Q218" t="n">
        <v>1005752.957443653</v>
      </c>
      <c r="R218" t="n">
        <v>1201531.714059091</v>
      </c>
      <c r="S218" t="n">
        <v>1404383.500013554</v>
      </c>
      <c r="T218" t="n">
        <v>1607933.618832735</v>
      </c>
      <c r="U218" t="n">
        <v>1815682.989491329</v>
      </c>
      <c r="V218" t="n">
        <v>2031679.446966683</v>
      </c>
      <c r="W218" t="n">
        <v>2251554.078216898</v>
      </c>
      <c r="X218" t="n">
        <v>2477181.70451534</v>
      </c>
      <c r="Y218" t="n">
        <v>2708674.123609374</v>
      </c>
      <c r="Z218" t="n">
        <v>2953638.710024385</v>
      </c>
      <c r="AA218" t="n">
        <v>3217848.464368632</v>
      </c>
      <c r="AB218" t="n">
        <v>3494524.648518695</v>
      </c>
      <c r="AC218" t="n">
        <v>3769278.310480768</v>
      </c>
      <c r="AD218" t="n">
        <v>4051295.94264162</v>
      </c>
      <c r="AE218" t="n">
        <v>4337293.90515192</v>
      </c>
      <c r="AF218" t="n">
        <v>4623541.930712532</v>
      </c>
      <c r="AG218" t="n">
        <v>4920812.426581583</v>
      </c>
      <c r="AH218" t="n">
        <v>5223316.307228316</v>
      </c>
      <c r="AI218" t="n">
        <v>5534628.306260768</v>
      </c>
      <c r="AJ218" t="n">
        <v>5851172.006412975</v>
      </c>
      <c r="AK218" t="n">
        <v>6171373.863486292</v>
      </c>
      <c r="AL218" t="n">
        <v>6489744.946199305</v>
      </c>
      <c r="AM218" t="n">
        <v>6815492.743590644</v>
      </c>
      <c r="AN218" t="n">
        <v>7142380.952100289</v>
      </c>
      <c r="AO218" t="n">
        <v>7472056.292984407</v>
      </c>
      <c r="AP218" t="n">
        <v>7805354.589265887</v>
      </c>
      <c r="AQ218" t="n">
        <v>8140273.060328769</v>
      </c>
      <c r="AR218" t="n">
        <v>8474500.966790419</v>
      </c>
      <c r="AS218" t="n">
        <v>8814393.774994601</v>
      </c>
      <c r="AT218" t="n">
        <v>9157533.201725492</v>
      </c>
      <c r="AU218" t="n">
        <v>9505456.767878577</v>
      </c>
      <c r="AV218" t="n">
        <v>9856191.595377052</v>
      </c>
      <c r="AW218" t="n">
        <v>10206920.08129789</v>
      </c>
      <c r="AX218" t="n">
        <v>10552396.09730163</v>
      </c>
      <c r="AY218" t="n">
        <v>10901376.93364388</v>
      </c>
      <c r="AZ218" t="n">
        <v>11250403.36648093</v>
      </c>
      <c r="BA218" t="n">
        <v>11599374.06673087</v>
      </c>
      <c r="BB218" t="n">
        <v>11949788.57616669</v>
      </c>
      <c r="BC218" t="n">
        <v>12299441.50380187</v>
      </c>
      <c r="BD218" t="n">
        <v>12643304.85277081</v>
      </c>
      <c r="BE218" t="n">
        <v>12994561.09241132</v>
      </c>
      <c r="BF218" t="n">
        <v>13345001.19923569</v>
      </c>
      <c r="BG218" t="n">
        <v>13696025.77157309</v>
      </c>
      <c r="BH218" t="n">
        <v>14048716.74969108</v>
      </c>
      <c r="BI218" t="n">
        <v>14400730.75480694</v>
      </c>
    </row>
    <row r="219" hidden="1" outlineLevel="2">
      <c r="A219" t="inlineStr">
        <is>
          <t>Cash Final</t>
        </is>
      </c>
      <c r="B219">
        <f>$DE$194+B218</f>
        <v/>
      </c>
      <c r="C219">
        <f>B219+C218</f>
        <v/>
      </c>
      <c r="D219">
        <f>C219+D218</f>
        <v/>
      </c>
      <c r="E219">
        <f>D219+E218</f>
        <v/>
      </c>
      <c r="F219">
        <f>E219+F218</f>
        <v/>
      </c>
      <c r="G219">
        <f>F219+G218</f>
        <v/>
      </c>
      <c r="H219">
        <f>G219+H218</f>
        <v/>
      </c>
      <c r="I219">
        <f>H219+I218</f>
        <v/>
      </c>
      <c r="J219">
        <f>I219+J218</f>
        <v/>
      </c>
      <c r="K219">
        <f>J219+K218</f>
        <v/>
      </c>
      <c r="L219">
        <f>K219+L218</f>
        <v/>
      </c>
      <c r="M219">
        <f>L219+M218</f>
        <v/>
      </c>
      <c r="N219">
        <f>M219+N218</f>
        <v/>
      </c>
      <c r="O219">
        <f>N219+O218</f>
        <v/>
      </c>
      <c r="P219">
        <f>O219+P218</f>
        <v/>
      </c>
      <c r="Q219">
        <f>P219+Q218</f>
        <v/>
      </c>
      <c r="R219">
        <f>Q219+R218</f>
        <v/>
      </c>
      <c r="S219">
        <f>R219+S218</f>
        <v/>
      </c>
      <c r="T219">
        <f>S219+T218</f>
        <v/>
      </c>
      <c r="U219">
        <f>T219+U218</f>
        <v/>
      </c>
      <c r="V219">
        <f>U219+V218</f>
        <v/>
      </c>
      <c r="W219">
        <f>V219+W218</f>
        <v/>
      </c>
      <c r="X219">
        <f>W219+X218</f>
        <v/>
      </c>
      <c r="Y219">
        <f>X219+Y218</f>
        <v/>
      </c>
      <c r="Z219">
        <f>Y219+Z218</f>
        <v/>
      </c>
      <c r="AA219">
        <f>Z219+AA218</f>
        <v/>
      </c>
      <c r="AB219">
        <f>AA219+AB218</f>
        <v/>
      </c>
      <c r="AC219">
        <f>AB219+AC218</f>
        <v/>
      </c>
      <c r="AD219">
        <f>AC219+AD218</f>
        <v/>
      </c>
      <c r="AE219">
        <f>AD219+AE218</f>
        <v/>
      </c>
      <c r="AF219">
        <f>AE219+AF218</f>
        <v/>
      </c>
      <c r="AG219">
        <f>AF219+AG218</f>
        <v/>
      </c>
      <c r="AH219">
        <f>AG219+AH218</f>
        <v/>
      </c>
      <c r="AI219">
        <f>AH219+AI218</f>
        <v/>
      </c>
      <c r="AJ219">
        <f>AI219+AJ218</f>
        <v/>
      </c>
      <c r="AK219">
        <f>AJ219+AK218</f>
        <v/>
      </c>
      <c r="AL219">
        <f>AK219+AL218</f>
        <v/>
      </c>
      <c r="AM219">
        <f>AL219+AM218</f>
        <v/>
      </c>
      <c r="AN219">
        <f>AM219+AN218</f>
        <v/>
      </c>
      <c r="AO219">
        <f>AN219+AO218</f>
        <v/>
      </c>
      <c r="AP219">
        <f>AO219+AP218</f>
        <v/>
      </c>
      <c r="AQ219">
        <f>AP219+AQ218</f>
        <v/>
      </c>
      <c r="AR219">
        <f>AQ219+AR218</f>
        <v/>
      </c>
      <c r="AS219">
        <f>AR219+AS218</f>
        <v/>
      </c>
      <c r="AT219">
        <f>AS219+AT218</f>
        <v/>
      </c>
      <c r="AU219">
        <f>AT219+AU218</f>
        <v/>
      </c>
      <c r="AV219">
        <f>AU219+AV218</f>
        <v/>
      </c>
      <c r="AW219">
        <f>AV219+AW218</f>
        <v/>
      </c>
      <c r="AX219">
        <f>AW219+AX218</f>
        <v/>
      </c>
      <c r="AY219">
        <f>AX219+AY218</f>
        <v/>
      </c>
      <c r="AZ219">
        <f>AY219+AZ218</f>
        <v/>
      </c>
      <c r="BA219">
        <f>AZ219+BA218</f>
        <v/>
      </c>
      <c r="BB219">
        <f>BA219+BB218</f>
        <v/>
      </c>
      <c r="BC219">
        <f>BB219+BC218</f>
        <v/>
      </c>
      <c r="BD219">
        <f>BC219+BD218</f>
        <v/>
      </c>
      <c r="BE219">
        <f>BD219+BE218</f>
        <v/>
      </c>
      <c r="BF219">
        <f>BE219+BF218</f>
        <v/>
      </c>
      <c r="BG219">
        <f>BF219+BG218</f>
        <v/>
      </c>
      <c r="BH219">
        <f>BG219+BH218</f>
        <v/>
      </c>
      <c r="BI219">
        <f>BH219+BI218</f>
        <v/>
      </c>
    </row>
    <row r="220" collapsed="1"/>
  </sheetData>
  <pageMargins left="0.7" right="0.7" top="0.75" bottom="0.75" header="0.3" footer="0.3"/>
  <pageSetup orientation="portrait" horizontalDpi="0" verticalDpi="0"/>
</worksheet>
</file>

<file path=xl/worksheets/sheet4.xml><?xml version="1.0" encoding="utf-8"?>
<worksheet xmlns="http://schemas.openxmlformats.org/spreadsheetml/2006/main">
  <sheetPr>
    <tabColor rgb="FF2F5496"/>
    <outlinePr summaryBelow="1" summaryRight="1"/>
    <pageSetUpPr/>
  </sheetPr>
  <dimension ref="A1:B789"/>
  <sheetViews>
    <sheetView showGridLines="0" topLeftCell="A684" workbookViewId="0">
      <selection activeCell="A16" sqref="A16"/>
    </sheetView>
  </sheetViews>
  <sheetFormatPr baseColWidth="10" defaultRowHeight="16"/>
  <cols>
    <col width="80" customWidth="1" min="1" max="1"/>
    <col width="33.33203125" customWidth="1" min="2" max="2"/>
  </cols>
  <sheetData>
    <row r="1" ht="23" customHeight="1">
      <c r="A1" s="145" t="inlineStr">
        <is>
          <t>DOCUMENTACIÓN DEL MODELO FINANCIERO</t>
        </is>
      </c>
    </row>
    <row r="2">
      <c r="A2" s="146" t="inlineStr">
        <is>
          <t>Super Meseros — Plataforma SaaS B2B2C para Meseros de Restaurante</t>
        </is>
      </c>
    </row>
    <row r="3">
      <c r="A3" s="147" t="inlineStr">
        <is>
          <t>Versión 4.0  |  Marzo 2026  |  Horizonte: 60 meses  |  Incluye: Ramp-up lineal, Palancas dinámicas, CAC alianzas, Valoración dinámica, Unit Economics, Dashboard, Referidos editables (B68), Comparativo 3 escenarios, Margen SM por escenario, SM params por escenario, Directos ajustados Pes/Base, Segmentación de restaurantes (Pricing v2.5), Fee Upgrade de Plan</t>
        </is>
      </c>
    </row>
    <row r="5" ht="18" customHeight="1">
      <c r="A5" s="148" t="inlineStr">
        <is>
          <t>TABLA DE CONTENIDOS</t>
        </is>
      </c>
      <c r="B5" s="149" t="n"/>
    </row>
    <row r="6">
      <c r="A6" s="150" t="inlineStr">
        <is>
          <t xml:space="preserve">  1. Resumen Ejecutivo</t>
        </is>
      </c>
      <c r="B6" s="147" t="inlineStr">
        <is>
          <t>Fila 23</t>
        </is>
      </c>
    </row>
    <row r="7">
      <c r="A7" s="150" t="inlineStr">
        <is>
          <t xml:space="preserve">  2. Arquitectura del Modelo</t>
        </is>
      </c>
      <c r="B7" s="147" t="inlineStr">
        <is>
          <t>Fila 41</t>
        </is>
      </c>
    </row>
    <row r="8">
      <c r="A8" s="150" t="inlineStr">
        <is>
          <t xml:space="preserve">  3. Supuestos Generales (Parámetros)</t>
        </is>
      </c>
      <c r="B8" s="147" t="inlineStr">
        <is>
          <t>Fila 64</t>
        </is>
      </c>
    </row>
    <row r="9">
      <c r="A9" s="150" t="inlineStr">
        <is>
          <t xml:space="preserve">  4. Motor de Onboarding y Crecimiento</t>
        </is>
      </c>
      <c r="B9" s="147" t="inlineStr">
        <is>
          <t>Fila 148</t>
        </is>
      </c>
    </row>
    <row r="10">
      <c r="A10" s="150" t="inlineStr">
        <is>
          <t xml:space="preserve">  5. Modelo de Ingresos</t>
        </is>
      </c>
      <c r="B10" s="147" t="inlineStr">
        <is>
          <t>Fila 221</t>
        </is>
      </c>
    </row>
    <row r="11">
      <c r="A11" s="150" t="inlineStr">
        <is>
          <t xml:space="preserve">  6. Estructura de Costos</t>
        </is>
      </c>
      <c r="B11" s="147" t="inlineStr">
        <is>
          <t>Fila 253</t>
        </is>
      </c>
    </row>
    <row r="12">
      <c r="A12" s="150" t="inlineStr">
        <is>
          <t xml:space="preserve">  7. CAC y Go-to-Market</t>
        </is>
      </c>
      <c r="B12" s="147" t="inlineStr">
        <is>
          <t>Fila 297</t>
        </is>
      </c>
    </row>
    <row r="13">
      <c r="A13" s="150" t="inlineStr">
        <is>
          <t xml:space="preserve">  8. Estados Financieros (P&amp;L + Cash Flow)</t>
        </is>
      </c>
      <c r="B13" s="147" t="inlineStr">
        <is>
          <t>Fila 353</t>
        </is>
      </c>
    </row>
    <row r="14">
      <c r="A14" s="150" t="inlineStr">
        <is>
          <t xml:space="preserve">  9. Análisis de Escenarios</t>
        </is>
      </c>
      <c r="B14" s="147" t="inlineStr">
        <is>
          <t>Fila 392</t>
        </is>
      </c>
    </row>
    <row r="15">
      <c r="A15" s="150" t="inlineStr">
        <is>
          <t xml:space="preserve">  10. Tablas de Sensibilidad</t>
        </is>
      </c>
      <c r="B15" s="147" t="inlineStr">
        <is>
          <t>Fila 447</t>
        </is>
      </c>
    </row>
    <row r="16">
      <c r="A16" s="150" t="inlineStr">
        <is>
          <t xml:space="preserve">  11. Sistema de Palancas de Crecimiento</t>
        </is>
      </c>
      <c r="B16" s="147" t="inlineStr">
        <is>
          <t>Fila 475</t>
        </is>
      </c>
    </row>
    <row r="17">
      <c r="A17" s="150" t="inlineStr">
        <is>
          <t xml:space="preserve">  12. Valoración Interactiva</t>
        </is>
      </c>
      <c r="B17" s="147" t="inlineStr">
        <is>
          <t>Fila 508 (+12b. Unit Economics: Fila 528)</t>
        </is>
      </c>
    </row>
    <row r="18">
      <c r="A18" s="150" t="inlineStr">
        <is>
          <t xml:space="preserve">  13. Escenario 2 — Resumen para Inversionista</t>
        </is>
      </c>
      <c r="B18" s="147" t="inlineStr">
        <is>
          <t>Fila 543</t>
        </is>
      </c>
    </row>
    <row r="19">
      <c r="A19" s="150" t="inlineStr">
        <is>
          <t xml:space="preserve">  14. Decisiones de Diseño</t>
        </is>
      </c>
      <c r="B19" s="147" t="inlineStr">
        <is>
          <t>Fila 571</t>
        </is>
      </c>
    </row>
    <row r="20">
      <c r="A20" s="150" t="inlineStr">
        <is>
          <t xml:space="preserve">  15. Fórmulas Clave y Trazabilidad</t>
        </is>
      </c>
      <c r="B20" s="147" t="inlineStr">
        <is>
          <t>Fila 617</t>
        </is>
      </c>
    </row>
    <row r="21">
      <c r="A21" s="150" t="inlineStr">
        <is>
          <t xml:space="preserve">  16–19. Supuestos, Guía de Uso, Glosario, Política de Costos</t>
        </is>
      </c>
      <c r="B21" s="147" t="inlineStr">
        <is>
          <t>Filas 673+ (16: F673, 17: F701, 18: F726, 19: F746)</t>
        </is>
      </c>
    </row>
    <row r="23" ht="18" customHeight="1">
      <c r="A23" s="148" t="inlineStr">
        <is>
          <t>1. RESUMEN EJECUTIVO</t>
        </is>
      </c>
      <c r="B23" s="149" t="n"/>
    </row>
    <row r="25">
      <c r="A25" s="151" t="inlineStr">
        <is>
          <t>Super Meseros es una plataforma SaaS B2B2C que conecta restaurantes, marcas y meseros mediante tecnología, gamificación y Super Monedas. El modelo proyecta 60 meses de operación con crecimiento orgánico en 5 fases + 5 palancas de alianzas estratégicas vinculadas al escenario activo (Pesimista: 2 alianzas CC+ACODRES, Base: 2 alianzas CC+ACODRES, Optimista: 5 alianzas). Las alianzas incorporan un ramp-up lineal gradual (Pes: 24m, Base: 18m, Opt: 12m). El margen de Super Meseros sobre redención de SM es diferenciado por escenario (Pes 10%, Base 15%, Opt 15%). Los 5 parámetros de SM (compra rest/marcas, % redención, breakage, % efectivo) son variables por escenario (v3.8). Directos orgánicos ajustados: Pes 2/4/8/14/20, Base 3/5/9/15/22. Los referidos son editables (Sup.Gen B68=2). Incluye CAC diferenciado para alianzas ($60/rest), hoja de Valoración dinámica con ponderación editable (C23=30% Pipeline), hoja Unit Economics para inversionista, y Dashboard 100% dinámico con 5 gráficos.</t>
        </is>
      </c>
    </row>
    <row r="27">
      <c r="A27" s="152" t="inlineStr">
        <is>
          <t>MÉTRICAS CLAVE DEL CASO BASE (Escenario Base — 2 alianzas activas: CC + ACODRES a 25 rest/mes, ramp-up 18m, directos 3/5/9/15/22, B68=2, Margen SM 15%, 90 rest/EM, 65 rest/CS)</t>
        </is>
      </c>
    </row>
    <row r="29">
      <c r="A29" s="164" t="inlineStr">
        <is>
          <t xml:space="preserve">  Métrica</t>
        </is>
      </c>
      <c r="B29" s="164" t="inlineStr">
        <is>
          <t xml:space="preserve">  Valor</t>
        </is>
      </c>
    </row>
    <row r="30">
      <c r="A30" s="165" t="inlineStr">
        <is>
          <t xml:space="preserve">  Total Ingresos (60 meses)</t>
        </is>
      </c>
      <c r="B30" s="166" t="inlineStr">
        <is>
          <t xml:space="preserve">  $161,002,698 USD</t>
        </is>
      </c>
    </row>
    <row r="31">
      <c r="A31" s="165" t="inlineStr">
        <is>
          <t xml:space="preserve">  Total Costos Directos (60 meses)</t>
        </is>
      </c>
      <c r="B31" s="165" t="inlineStr">
        <is>
          <t xml:space="preserve">  $96,741,485 USD</t>
        </is>
      </c>
    </row>
    <row r="32">
      <c r="A32" s="165" t="inlineStr">
        <is>
          <t xml:space="preserve">  Utilidad Bruta (60 meses)</t>
        </is>
      </c>
      <c r="B32" s="165" t="inlineStr">
        <is>
          <t xml:space="preserve">  $64,261,213 USD</t>
        </is>
      </c>
    </row>
    <row r="33">
      <c r="A33" s="165" t="inlineStr">
        <is>
          <t xml:space="preserve">  Margen Bruto promedio</t>
        </is>
      </c>
      <c r="B33" s="167" t="n">
        <v>0.399</v>
      </c>
    </row>
    <row r="34">
      <c r="A34" s="165" t="inlineStr">
        <is>
          <t xml:space="preserve">  EBITDA acumulado (60 meses)</t>
        </is>
      </c>
      <c r="B34" s="166" t="inlineStr">
        <is>
          <t xml:space="preserve">  $49,146,081 USD</t>
        </is>
      </c>
    </row>
    <row r="35">
      <c r="A35" s="165" t="inlineStr">
        <is>
          <t xml:space="preserve">  Margen EBITDA promedio</t>
        </is>
      </c>
      <c r="B35" s="167" t="n">
        <v>0.305</v>
      </c>
    </row>
    <row r="36">
      <c r="A36" s="165" t="inlineStr">
        <is>
          <t xml:space="preserve">  Caja Final (Mes 60)</t>
        </is>
      </c>
      <c r="B36" s="168" t="inlineStr">
        <is>
          <t xml:space="preserve">  $32,378,658 USD</t>
        </is>
      </c>
    </row>
    <row r="37">
      <c r="A37" s="165" t="inlineStr">
        <is>
          <t xml:space="preserve">  Caja Inicial (Funding)</t>
        </is>
      </c>
      <c r="B37" s="165" t="inlineStr">
        <is>
          <t xml:space="preserve">  $500,000 USD</t>
        </is>
      </c>
    </row>
    <row r="38">
      <c r="A38" s="165" t="inlineStr">
        <is>
          <t xml:space="preserve">  ROI sobre inversión inicial</t>
        </is>
      </c>
      <c r="B38" s="168" t="inlineStr">
        <is>
          <t xml:space="preserve">  6,476% ($32.4M / $500K)</t>
        </is>
      </c>
    </row>
    <row r="39">
      <c r="A39" s="169" t="inlineStr">
        <is>
          <t xml:space="preserve">  Restaurantes activos (Mes 60)</t>
        </is>
      </c>
      <c r="B39" s="170" t="n">
        <v>5383</v>
      </c>
    </row>
    <row r="41" ht="18" customHeight="1">
      <c r="A41" s="148" t="inlineStr">
        <is>
          <t>2. ARQUITECTURA DEL MODELO</t>
        </is>
      </c>
      <c r="B41" s="149" t="n"/>
    </row>
    <row r="43">
      <c r="A43" s="151" t="inlineStr">
        <is>
          <t>El modelo se compone de 9 hojas interconectadas. Todos los parámetros fluyen desde Supuestos Generales hacia las hojas operativas y financieras.</t>
        </is>
      </c>
    </row>
    <row r="45">
      <c r="A45" s="164" t="inlineStr">
        <is>
          <t xml:space="preserve">  Hoja</t>
        </is>
      </c>
      <c r="B45" s="164" t="inlineStr">
        <is>
          <t xml:space="preserve">  Función</t>
        </is>
      </c>
    </row>
    <row r="46">
      <c r="A46" s="165" t="inlineStr">
        <is>
          <t xml:space="preserve">  1. Supuestos Generales</t>
        </is>
      </c>
      <c r="B46" s="165" t="inlineStr">
        <is>
          <t xml:space="preserve">  Parámetros centrales del modelo (113 filas)</t>
        </is>
      </c>
    </row>
    <row r="47">
      <c r="A47" s="165" t="inlineStr">
        <is>
          <t xml:space="preserve">  2. Onboarding</t>
        </is>
      </c>
      <c r="B47" s="165" t="inlineStr">
        <is>
          <t xml:space="preserve">  Crecimiento: restaurantes orgánicos + alianzas + referidos, meseros, marcas</t>
        </is>
      </c>
    </row>
    <row r="48">
      <c r="A48" s="165" t="inlineStr">
        <is>
          <t xml:space="preserve">  3. Ingresos</t>
        </is>
      </c>
      <c r="B48" s="165" t="inlineStr">
        <is>
          <t xml:space="preserve">  One-Off (SetUp + Entry) + Recurrentes (SaaS + Super Monedas)</t>
        </is>
      </c>
    </row>
    <row r="49">
      <c r="A49" s="165" t="inlineStr">
        <is>
          <t xml:space="preserve">  4. Costos Directos</t>
        </is>
      </c>
      <c r="B49" s="165" t="inlineStr">
        <is>
          <t xml:space="preserve">  Variables + Engagement + CS (reclasificado de OPEX)</t>
        </is>
      </c>
    </row>
    <row r="50">
      <c r="A50" s="165" t="inlineStr">
        <is>
          <t xml:space="preserve">  5. CAC y GTM</t>
        </is>
      </c>
      <c r="B50" s="165" t="inlineStr">
        <is>
          <t xml:space="preserve">  Costos de adquisición directos + alianzas ($60/rest), comisiones, publicidad, LTV/CAC</t>
        </is>
      </c>
    </row>
    <row r="51">
      <c r="A51" s="165" t="inlineStr">
        <is>
          <t xml:space="preserve">  6. OPEX</t>
        </is>
      </c>
      <c r="B51" s="165" t="inlineStr">
        <is>
          <t xml:space="preserve">  Costos fijos con step-ups condicionales a EBITDA + Gerente + Licencia</t>
        </is>
      </c>
    </row>
    <row r="52">
      <c r="A52" s="165" t="inlineStr">
        <is>
          <t xml:space="preserve">  7. Estados Financieros</t>
        </is>
      </c>
      <c r="B52" s="165" t="inlineStr">
        <is>
          <t xml:space="preserve">  P&amp;L + Cash Flow + KPIs operativos (60 meses + TOTAL)</t>
        </is>
      </c>
    </row>
    <row r="53">
      <c r="A53" s="165" t="inlineStr">
        <is>
          <t xml:space="preserve">  8. Escenarios</t>
        </is>
      </c>
      <c r="B53" s="165" t="inlineStr">
        <is>
          <t xml:space="preserve">  Selector Pesimista/Base/Optimista + 2 tablas sensibilidad (588 CHOOSE)</t>
        </is>
      </c>
    </row>
    <row r="54">
      <c r="A54" s="355" t="inlineStr">
        <is>
          <t xml:space="preserve">  9. Palancas</t>
        </is>
      </c>
      <c r="B54" s="356" t="inlineStr">
        <is>
          <t xml:space="preserve">  5 alianzas con toggle ON/OFF: CC, ACODRES, Bavaria, FEMSA, CC Florida. CAC alianzas $60/rest. Solapamiento 35%.</t>
        </is>
      </c>
    </row>
    <row r="55">
      <c r="A55" s="169" t="inlineStr">
        <is>
          <t xml:space="preserve">  10. Valoración</t>
        </is>
      </c>
      <c r="B55" s="169" t="inlineStr">
        <is>
          <t xml:space="preserve">  3 métodos + 3 tablas sensibilidad. Pipeline 76,500 rest (vinculado a Palancas). Unit economics dinámicos con escenario.</t>
        </is>
      </c>
    </row>
    <row r="56">
      <c r="A56" s="153" t="inlineStr">
        <is>
          <t xml:space="preserve">  11. Escenarios (resumen)</t>
        </is>
      </c>
      <c r="B56" s="153" t="inlineStr">
        <is>
          <t xml:space="preserve">  5 tablas dinámicas para inversionista: Ingresos semestrales, ARR por año, P&amp;L anual, Crecimiento rest por canal, Unit Economics</t>
        </is>
      </c>
    </row>
    <row r="57">
      <c r="A57" s="153" t="inlineStr">
        <is>
          <t xml:space="preserve">  12. Dashboard</t>
        </is>
      </c>
      <c r="B57" s="153" t="inlineStr">
        <is>
          <t xml:space="preserve">  Panel visual con P&amp;L anual (5 años), KPIs operativos, valoración, alianzas activas y 5 gráficos dinámicos</t>
        </is>
      </c>
    </row>
    <row r="58">
      <c r="A58" s="153" t="inlineStr">
        <is>
          <t xml:space="preserve">  13. Documentación</t>
        </is>
      </c>
      <c r="B58" s="153" t="inlineStr">
        <is>
          <t xml:space="preserve">  Esta hoja — Documentación completa del modelo</t>
        </is>
      </c>
    </row>
    <row r="59">
      <c r="A59" s="153" t="inlineStr">
        <is>
          <t xml:space="preserve">  14. Anexos Documentación</t>
        </is>
      </c>
      <c r="B59" s="153" t="inlineStr">
        <is>
          <t xml:space="preserve">  Detalle técnico de fórmulas y lógica para referencia entre sesiones</t>
        </is>
      </c>
    </row>
    <row r="60">
      <c r="A60" s="153" t="inlineStr">
        <is>
          <t xml:space="preserve">  15. Claude Log</t>
        </is>
      </c>
      <c r="B60" s="153" t="inlineStr">
        <is>
          <t xml:space="preserve">  Bitácora detallada de cambios por sesión (memoria permanente del agente)</t>
        </is>
      </c>
    </row>
    <row r="61">
      <c r="A61" s="153" t="inlineStr">
        <is>
          <t xml:space="preserve">  16. Unit Economics</t>
        </is>
      </c>
      <c r="B61" s="153" t="inlineStr">
        <is>
          <t xml:space="preserve">  Simulador unitario por restaurante con input editable (B5), indicador de escenario con colores, escalamiento dinámico</t>
        </is>
      </c>
    </row>
    <row r="64" ht="18" customHeight="1">
      <c r="A64" s="148" t="inlineStr">
        <is>
          <t>3. SUPUESTOS GENERALES (PARÁMETROS)</t>
        </is>
      </c>
      <c r="B64" s="149" t="n"/>
    </row>
    <row r="66">
      <c r="A66" s="151" t="inlineStr">
        <is>
          <t>Todos los parámetros se definen en la hoja "Supuestos Generales" y se referencian dinámicamente. Los valores azules son inputs del usuario; los escenarios los sobrescriben via VLOOKUP.</t>
        </is>
      </c>
    </row>
    <row r="68">
      <c r="A68" s="152" t="inlineStr">
        <is>
          <t>PARÁMETROS GENERALES</t>
        </is>
      </c>
    </row>
    <row r="69">
      <c r="A69" s="164" t="inlineStr">
        <is>
          <t xml:space="preserve">  Parámetro</t>
        </is>
      </c>
      <c r="B69" s="164" t="inlineStr">
        <is>
          <t xml:space="preserve">  Valor</t>
        </is>
      </c>
    </row>
    <row r="70">
      <c r="A70" s="165" t="inlineStr">
        <is>
          <t xml:space="preserve">  Mes de inicio</t>
        </is>
      </c>
      <c r="B70" s="165" t="n">
        <v>1</v>
      </c>
    </row>
    <row r="71">
      <c r="A71" s="165" t="inlineStr">
        <is>
          <t xml:space="preserve">  Horizonte del modelo</t>
        </is>
      </c>
      <c r="B71" s="165" t="inlineStr">
        <is>
          <t xml:space="preserve">  60 meses (5 años)</t>
        </is>
      </c>
    </row>
    <row r="72">
      <c r="A72" s="165" t="inlineStr">
        <is>
          <t xml:space="preserve">  Moneda</t>
        </is>
      </c>
      <c r="B72" s="165" t="inlineStr">
        <is>
          <t xml:space="preserve">  USD</t>
        </is>
      </c>
    </row>
    <row r="73">
      <c r="A73" s="169" t="inlineStr">
        <is>
          <t xml:space="preserve">  Caja inicial (funding)</t>
        </is>
      </c>
      <c r="B73" s="696" t="n">
        <v>500000</v>
      </c>
    </row>
    <row r="75">
      <c r="A75" s="152" t="inlineStr">
        <is>
          <t>RAMPA DE ONBOARDING POR FASE</t>
        </is>
      </c>
    </row>
    <row r="76">
      <c r="A76" s="164" t="inlineStr">
        <is>
          <t xml:space="preserve">  Fase</t>
        </is>
      </c>
      <c r="B76" s="164" t="inlineStr">
        <is>
          <t xml:space="preserve">  Pes / Base / Opt</t>
        </is>
      </c>
    </row>
    <row r="77">
      <c r="A77" s="165" t="inlineStr">
        <is>
          <t xml:space="preserve">  Fase 1 — Piloto (Mes 1–3)</t>
        </is>
      </c>
      <c r="B77" s="165" t="inlineStr">
        <is>
          <t xml:space="preserve">  2 / 3 / 3 restaurantes/mes</t>
        </is>
      </c>
    </row>
    <row r="78">
      <c r="A78" s="165" t="inlineStr">
        <is>
          <t xml:space="preserve">  Fase 2 — Tracción (Mes 4–6)</t>
        </is>
      </c>
      <c r="B78" s="165" t="inlineStr">
        <is>
          <t xml:space="preserve">  4 / 5 / 6 restaurantes/mes</t>
        </is>
      </c>
    </row>
    <row r="79">
      <c r="A79" s="165" t="inlineStr">
        <is>
          <t xml:space="preserve">  Fase 3 — Crecimiento (Mes 7–12)</t>
        </is>
      </c>
      <c r="B79" s="165" t="inlineStr">
        <is>
          <t xml:space="preserve">  8 / 9 / 10 restaurantes/mes</t>
        </is>
      </c>
    </row>
    <row r="80">
      <c r="A80" s="165" t="inlineStr">
        <is>
          <t xml:space="preserve">  Fase 4 — Consolidación (Mes 13–24)</t>
        </is>
      </c>
      <c r="B80" s="165" t="inlineStr">
        <is>
          <t xml:space="preserve">  14 / 15 / 18 restaurantes/mes</t>
        </is>
      </c>
    </row>
    <row r="81">
      <c r="A81" s="165" t="inlineStr">
        <is>
          <t xml:space="preserve">  Fase 5 — Madurez orgánica (Mes 25–60)</t>
        </is>
      </c>
      <c r="B81" s="165" t="inlineStr">
        <is>
          <t xml:space="preserve">  20 / 22 / 27 restaurantes/mes</t>
        </is>
      </c>
    </row>
    <row r="82">
      <c r="A82" s="172" t="n"/>
      <c r="B82" s="172" t="n"/>
    </row>
    <row r="83">
      <c r="A83" s="152" t="inlineStr">
        <is>
          <t>RESTAURANTES Y MESEROS</t>
        </is>
      </c>
    </row>
    <row r="84">
      <c r="A84" s="155" t="inlineStr">
        <is>
          <t xml:space="preserve">  Parámetro</t>
        </is>
      </c>
      <c r="B84" s="155" t="inlineStr">
        <is>
          <t xml:space="preserve">  Valor</t>
        </is>
      </c>
    </row>
    <row r="85">
      <c r="A85" s="173" t="inlineStr">
        <is>
          <t xml:space="preserve">  Churn mensual de restaurantes</t>
        </is>
      </c>
      <c r="B85" s="174" t="n">
        <v>0.03</v>
      </c>
    </row>
    <row r="86">
      <c r="A86" s="165" t="inlineStr">
        <is>
          <t xml:space="preserve">  Meseros promedio por restaurante</t>
        </is>
      </c>
      <c r="B86" s="165" t="n">
        <v>8</v>
      </c>
    </row>
    <row r="87">
      <c r="A87" s="165" t="inlineStr">
        <is>
          <t xml:space="preserve">  % de meseros activos</t>
        </is>
      </c>
      <c r="B87" s="175" t="n">
        <v>0.85</v>
      </c>
    </row>
    <row r="88">
      <c r="A88" s="165" t="inlineStr">
        <is>
          <t xml:space="preserve">  Churn mensual de meseros</t>
        </is>
      </c>
      <c r="B88" s="167" t="n">
        <v>0.05</v>
      </c>
    </row>
    <row r="89">
      <c r="A89" s="172" t="n"/>
      <c r="B89" s="172" t="n"/>
    </row>
    <row r="90">
      <c r="A90" s="152" t="inlineStr">
        <is>
          <t>FEES E INGRESOS</t>
        </is>
      </c>
    </row>
    <row r="91">
      <c r="A91" s="155" t="inlineStr">
        <is>
          <t xml:space="preserve">  Parámetro</t>
        </is>
      </c>
      <c r="B91" s="155" t="inlineStr">
        <is>
          <t xml:space="preserve">  Valor</t>
        </is>
      </c>
    </row>
    <row r="92">
      <c r="A92" s="173" t="inlineStr">
        <is>
          <t xml:space="preserve">  SetUp Fee por restaurante (one-time)</t>
        </is>
      </c>
      <c r="B92" s="697" t="n">
        <v>500</v>
      </c>
    </row>
    <row r="93">
      <c r="A93" s="165" t="inlineStr">
        <is>
          <t xml:space="preserve">  Entry Fee por restaurante-marca (one-time)</t>
        </is>
      </c>
      <c r="B93" s="698" t="n">
        <v>300</v>
      </c>
    </row>
    <row r="94">
      <c r="A94" s="165" t="inlineStr">
        <is>
          <t xml:space="preserve">  ARPU mensual por mesero (restaurante)</t>
        </is>
      </c>
      <c r="B94" s="698" t="n">
        <v>15</v>
      </c>
    </row>
    <row r="95">
      <c r="A95" s="165" t="inlineStr">
        <is>
          <t xml:space="preserve">  ARPU mensual por mesero (marcas)</t>
        </is>
      </c>
      <c r="B95" s="698" t="n">
        <v>10</v>
      </c>
    </row>
    <row r="96">
      <c r="A96" s="165" t="inlineStr">
        <is>
          <t xml:space="preserve">  Marcas promedio por restaurante</t>
        </is>
      </c>
      <c r="B96" s="165" t="inlineStr">
        <is>
          <t xml:space="preserve">  2.0 (crece 1%/mes)</t>
        </is>
      </c>
    </row>
    <row r="97">
      <c r="A97" s="169" t="n"/>
      <c r="B97" s="169" t="n"/>
    </row>
    <row r="98">
      <c r="A98" s="510" t="inlineStr">
        <is>
          <t>SEGMENTACIÓN POR TAMAÑO DE RESTAURANTE (Pricing v2.5)</t>
        </is>
      </c>
      <c r="B98" s="169" t="n"/>
    </row>
    <row r="99">
      <c r="A99" s="511" t="inlineStr">
        <is>
          <t xml:space="preserve">  Integrado desde el Modelo de Pricing Super Meseros v2.5. Permite diferenciar fee, meseros y comportamiento por tamaño.</t>
        </is>
      </c>
      <c r="B99" s="169" t="n"/>
    </row>
    <row r="100">
      <c r="A100" s="169" t="n"/>
      <c r="B100" s="169" t="n"/>
    </row>
    <row r="101">
      <c r="A101" s="513" t="inlineStr">
        <is>
          <t xml:space="preserve">  Segmento</t>
        </is>
      </c>
      <c r="B101" s="169" t="n"/>
    </row>
    <row r="102">
      <c r="A102" s="512" t="inlineStr">
        <is>
          <t xml:space="preserve">  Pequeños: Fee Base $12/mes, Meseros típicos 5, Mix varía por escenario (Pes=70%, Base=50%, Opt=35%)</t>
        </is>
      </c>
      <c r="B102" s="169" t="n"/>
    </row>
    <row r="103">
      <c r="A103" s="512" t="inlineStr">
        <is>
          <t xml:space="preserve">  Medianos: Fee Base $25/mes, Meseros típicos 10, Mix varía por escenario (Pes=25%, Base=35%, Opt=35%)</t>
        </is>
      </c>
      <c r="B103" s="169" t="n"/>
    </row>
    <row r="104">
      <c r="A104" s="512" t="inlineStr">
        <is>
          <t xml:space="preserve">  Grandes: Fee Base $45/mes, Meseros típicos 25, Mix varía por escenario (Pes=5%, Base=15%, Opt=30%)</t>
        </is>
      </c>
      <c r="B104" s="169" t="n"/>
    </row>
    <row r="105">
      <c r="A105" s="169" t="n"/>
      <c r="B105" s="169" t="n"/>
    </row>
    <row r="106">
      <c r="A106" s="513" t="inlineStr">
        <is>
          <t xml:space="preserve">  Cálculo ARPU Ponderado</t>
        </is>
      </c>
      <c r="B106" s="169" t="n"/>
    </row>
    <row r="107">
      <c r="A107" s="512" t="inlineStr">
        <is>
          <t xml:space="preserve">  ARPU Bruto = ∑(Fee_Base_i × Mix_i) para i = Peq, Med, Gra</t>
        </is>
      </c>
      <c r="B107" s="169" t="n"/>
    </row>
    <row r="108">
      <c r="A108" s="512" t="inlineStr">
        <is>
          <t xml:space="preserve">  % Descuento = f(meseros ponderados, marcas/rest) — descuento automático por volumen</t>
        </is>
      </c>
      <c r="B108" s="169" t="n"/>
    </row>
    <row r="109">
      <c r="A109" s="512" t="inlineStr">
        <is>
          <t xml:space="preserve">  ARPU Neto = ARPU Bruto × (1 - % Descuento) → Supuestos Generales!B56</t>
        </is>
      </c>
      <c r="B109" s="169" t="n"/>
    </row>
    <row r="110">
      <c r="A110" s="512" t="inlineStr">
        <is>
          <t xml:space="preserve">  Meseros Ponderados = ∑(Meseros_tipicos_i × Mix_i) → Supuestos Generales!B57</t>
        </is>
      </c>
      <c r="B110" s="169" t="n"/>
    </row>
    <row r="111">
      <c r="A111" s="169" t="n"/>
      <c r="B111" s="169" t="n"/>
    </row>
    <row r="112">
      <c r="A112" s="513" t="inlineStr">
        <is>
          <t xml:space="preserve">  Fee Upgrade de Plan</t>
        </is>
      </c>
      <c r="B112" s="169" t="n"/>
    </row>
    <row r="113">
      <c r="A113" s="512" t="inlineStr">
        <is>
          <t xml:space="preserve">  % Upgrade varía por escenario (Pes=5%, Base=10%, Opt=20%) → Supuestos Generales!B59</t>
        </is>
      </c>
      <c r="B113" s="169" t="n"/>
    </row>
    <row r="114">
      <c r="A114" s="512" t="inlineStr">
        <is>
          <t xml:space="preserve">  Fee Upgrade = $50/rest/mes (fijo) → Supuestos Generales!B60</t>
        </is>
      </c>
      <c r="B114" s="169" t="n"/>
    </row>
    <row r="115">
      <c r="A115" s="512" t="inlineStr">
        <is>
          <t xml:space="preserve">  Ingreso = Restaurantes activos × % Upgrade × $50 → Ingresos!B13:BI13</t>
        </is>
      </c>
      <c r="B115" s="169" t="n"/>
    </row>
    <row r="116">
      <c r="A116" s="169" t="n"/>
      <c r="B116" s="169" t="n"/>
    </row>
    <row r="117">
      <c r="A117" s="514" t="inlineStr">
        <is>
          <t xml:space="preserve">  Ubicación en modelo: Supuestos Generales filas 39–61, Escenarios filas 27–31, Ingresos fila 13</t>
        </is>
      </c>
      <c r="B117" s="169" t="n"/>
    </row>
    <row r="118">
      <c r="A118" s="169" t="n"/>
      <c r="B118" s="169" t="n"/>
    </row>
    <row r="119">
      <c r="A119" s="172" t="n"/>
      <c r="B119" s="172" t="n"/>
    </row>
    <row r="120">
      <c r="A120" s="152" t="inlineStr">
        <is>
          <t>SUPER MONEDAS</t>
        </is>
      </c>
    </row>
    <row r="121">
      <c r="A121" s="164" t="inlineStr">
        <is>
          <t xml:space="preserve">  Parámetro</t>
        </is>
      </c>
      <c r="B121" s="164" t="inlineStr">
        <is>
          <t xml:space="preserve">  Valor</t>
        </is>
      </c>
    </row>
    <row r="122">
      <c r="A122" s="165" t="inlineStr">
        <is>
          <t xml:space="preserve">  Compra Super Monedas por restaurante</t>
        </is>
      </c>
      <c r="B122" s="165" t="inlineStr">
        <is>
          <t xml:space="preserve">  Pes $25 / Base $35 / Opt $50 por mesero/mes</t>
        </is>
      </c>
    </row>
    <row r="123">
      <c r="A123" s="165" t="inlineStr">
        <is>
          <t xml:space="preserve">  Compra Super Monedas por marca</t>
        </is>
      </c>
      <c r="B123" s="165" t="inlineStr">
        <is>
          <t xml:space="preserve">  Pes $10 / Base $20 / Opt $25 por mesero/mes</t>
        </is>
      </c>
    </row>
    <row r="124">
      <c r="A124" s="165" t="inlineStr">
        <is>
          <t xml:space="preserve">  % redimidas por meseros</t>
        </is>
      </c>
      <c r="B124" s="175" t="inlineStr">
        <is>
          <t xml:space="preserve">  Pes 90% / Base 85% / Opt 80%</t>
        </is>
      </c>
    </row>
    <row r="125">
      <c r="A125" s="165" t="inlineStr">
        <is>
          <t xml:space="preserve">  % breakage (vencen)</t>
        </is>
      </c>
      <c r="B125" s="165" t="inlineStr">
        <is>
          <t xml:space="preserve">  Pes 8% / Base 10% / Opt 12% → ingreso directo</t>
        </is>
      </c>
    </row>
    <row r="126">
      <c r="A126" s="169" t="inlineStr">
        <is>
          <t xml:space="preserve">  Margen sobre redención</t>
        </is>
      </c>
      <c r="B126" s="178" t="inlineStr">
        <is>
          <t xml:space="preserve">  Pes 10% / Base 15% / Opt 15% (v3.9 — antes Pes 8%/Base 12%)</t>
        </is>
      </c>
    </row>
    <row r="128">
      <c r="A128" s="179" t="inlineStr">
        <is>
          <t>COSTOS DIRECTOS</t>
        </is>
      </c>
      <c r="B128" s="180" t="n"/>
    </row>
    <row r="129">
      <c r="A129" s="179" t="inlineStr">
        <is>
          <t xml:space="preserve">  Parámetro</t>
        </is>
      </c>
      <c r="B129" s="180" t="inlineStr">
        <is>
          <t xml:space="preserve">  Valor</t>
        </is>
      </c>
    </row>
    <row r="130">
      <c r="A130" s="179" t="inlineStr">
        <is>
          <t xml:space="preserve">  Provisión errores humanos (% Super Monedas)</t>
        </is>
      </c>
      <c r="B130" s="215" t="n">
        <v>0.015</v>
      </c>
    </row>
    <row r="131">
      <c r="A131" s="179" t="inlineStr">
        <is>
          <t xml:space="preserve">  Provisión fraude (% Super Monedas)</t>
        </is>
      </c>
      <c r="B131" s="215" t="n">
        <v>0.01</v>
      </c>
    </row>
    <row r="132">
      <c r="A132" s="179" t="inlineStr">
        <is>
          <t xml:space="preserve">  Total provisión errores + fraude</t>
        </is>
      </c>
      <c r="B132" s="180" t="inlineStr">
        <is>
          <t xml:space="preserve">  2.5% del bruto transaccionado</t>
        </is>
      </c>
    </row>
    <row r="133">
      <c r="A133" s="179" t="n"/>
      <c r="B133" s="180" t="n"/>
    </row>
    <row r="134">
      <c r="A134" s="179" t="inlineStr">
        <is>
          <t xml:space="preserve">  Nota: Se provisiona sobre el total de Super Monedas transaccionadas (restaurantes + marcas).</t>
        </is>
      </c>
      <c r="B134" s="180" t="n"/>
    </row>
    <row r="135">
      <c r="A135" s="179" t="inlineStr">
        <is>
          <t xml:space="preserve">  Errores = asignación manual incorrecta de Super Monedas.</t>
        </is>
      </c>
      <c r="B135" s="180" t="n"/>
    </row>
    <row r="136">
      <c r="A136" s="179" t="inlineStr">
        <is>
          <t xml:space="preserve">  Fraude = hackeo POS, evidencia falsa de ventas.</t>
        </is>
      </c>
      <c r="B136" s="180" t="n"/>
    </row>
    <row r="137">
      <c r="A137" s="179" t="n"/>
      <c r="B137" s="180" t="n"/>
    </row>
    <row r="138">
      <c r="A138" s="179" t="inlineStr">
        <is>
          <t>COSTOS VARIABLES</t>
        </is>
      </c>
      <c r="B138" s="180" t="n"/>
    </row>
    <row r="139">
      <c r="A139" s="179" t="n"/>
      <c r="B139" s="180" t="n"/>
    </row>
    <row r="140">
      <c r="A140" s="181" t="inlineStr">
        <is>
          <t xml:space="preserve">  Parámetro</t>
        </is>
      </c>
      <c r="B140" s="181" t="inlineStr">
        <is>
          <t xml:space="preserve">  Valor</t>
        </is>
      </c>
    </row>
    <row r="141">
      <c r="A141" s="165" t="inlineStr">
        <is>
          <t xml:space="preserve">  Incentivos/premios por mesero activo</t>
        </is>
      </c>
      <c r="B141" s="165" t="inlineStr">
        <is>
          <t xml:space="preserve">  $3/mes</t>
        </is>
      </c>
    </row>
    <row r="142">
      <c r="A142" s="165" t="inlineStr">
        <is>
          <t xml:space="preserve">  Costo redención Super Monedas</t>
        </is>
      </c>
      <c r="B142" s="165" t="inlineStr">
        <is>
          <t xml:space="preserve">  Pes 90% / Base 85% / Opt 85% del valor redimido (v3.9 — =1-Margen SM)</t>
        </is>
      </c>
    </row>
    <row r="143">
      <c r="A143" s="165" t="inlineStr">
        <is>
          <t xml:space="preserve">  Infraestructura por mesero activo</t>
        </is>
      </c>
      <c r="B143" s="165" t="inlineStr">
        <is>
          <t xml:space="preserve">  $0.50/mes</t>
        </is>
      </c>
    </row>
    <row r="144">
      <c r="A144" s="165" t="inlineStr">
        <is>
          <t xml:space="preserve">  Soporte por restaurante activo</t>
        </is>
      </c>
      <c r="B144" s="165" t="inlineStr">
        <is>
          <t xml:space="preserve">  Pes $25 / Base $25 / Opt $25 por restaurante/mes</t>
        </is>
      </c>
    </row>
    <row r="145">
      <c r="A145" s="165" t="inlineStr">
        <is>
          <t xml:space="preserve">  Restaurantes por Agente CS</t>
        </is>
      </c>
      <c r="B145" s="165" t="inlineStr">
        <is>
          <t xml:space="preserve">  Pes 50 / Base 65 / Opt 80 restaurantes por agente</t>
        </is>
      </c>
    </row>
    <row r="146">
      <c r="A146" s="169" t="inlineStr">
        <is>
          <t xml:space="preserve">  Costo por Agente CS</t>
        </is>
      </c>
      <c r="B146" s="169" t="inlineStr">
        <is>
          <t xml:space="preserve">  $1,000/mes</t>
        </is>
      </c>
    </row>
    <row r="148" ht="18" customHeight="1">
      <c r="A148" s="148" t="inlineStr">
        <is>
          <t>4. MOTOR DE ONBOARDING Y CRECIMIENTO</t>
        </is>
      </c>
      <c r="B148" s="149" t="n"/>
    </row>
    <row r="150">
      <c r="A150" s="151" t="inlineStr">
        <is>
          <t>Cada mes, la base de restaurantes crece por 4 fuentes independientes de entrada y se reduce por una salida (churn). El modelo no depende de una sola fuente: los 4 canales se refuerzan mutuamente, ya que las alianzas también generan referidos.</t>
        </is>
      </c>
    </row>
    <row r="152">
      <c r="A152" s="152" t="inlineStr">
        <is>
          <t>LAS 4 FUENTES DE RESTAURANTES NUEVOS</t>
        </is>
      </c>
    </row>
    <row r="154">
      <c r="A154" s="160" t="inlineStr">
        <is>
          <t>① DIRECTOS ORGÁNICOS — El equipo comercial propio</t>
        </is>
      </c>
    </row>
    <row r="155">
      <c r="A155" s="627" t="inlineStr">
        <is>
          <t>La empresa vende directamente a restaurantes. La velocidad arranca lenta (fase piloto) y escala en 5 fases a medida que el modelo madura:</t>
        </is>
      </c>
    </row>
    <row r="157">
      <c r="A157" s="628" t="inlineStr">
        <is>
          <t xml:space="preserve">  Fase</t>
        </is>
      </c>
      <c r="B157" s="628" t="inlineStr">
        <is>
          <t xml:space="preserve">  Meses  |  Rest/mes (Pesimista)</t>
        </is>
      </c>
    </row>
    <row r="158">
      <c r="A158" s="627" t="inlineStr">
        <is>
          <t xml:space="preserve">  1. Piloto</t>
        </is>
      </c>
      <c r="B158" s="627" t="inlineStr">
        <is>
          <t xml:space="preserve">  Mes 1–3  |  2 rest/mes</t>
        </is>
      </c>
    </row>
    <row r="159">
      <c r="A159" s="627" t="inlineStr">
        <is>
          <t xml:space="preserve">  2. Tracción</t>
        </is>
      </c>
      <c r="B159" s="627" t="inlineStr">
        <is>
          <t xml:space="preserve">  Mes 4–6  |  4 rest/mes</t>
        </is>
      </c>
    </row>
    <row r="160">
      <c r="A160" s="627" t="inlineStr">
        <is>
          <t xml:space="preserve">  3. Crecimiento</t>
        </is>
      </c>
      <c r="B160" s="627" t="inlineStr">
        <is>
          <t xml:space="preserve">  Mes 7–12  |  8 rest/mes</t>
        </is>
      </c>
    </row>
    <row r="161">
      <c r="A161" s="627" t="inlineStr">
        <is>
          <t xml:space="preserve">  4. Consolidación</t>
        </is>
      </c>
      <c r="B161" s="627" t="inlineStr">
        <is>
          <t xml:space="preserve">  Mes 13–24  |  14 rest/mes</t>
        </is>
      </c>
    </row>
    <row r="162">
      <c r="A162" s="627" t="inlineStr">
        <is>
          <t xml:space="preserve">  5. Madurez</t>
        </is>
      </c>
      <c r="B162" s="627" t="inlineStr">
        <is>
          <t xml:space="preserve">  Mes 25–60  |  20 rest/mes</t>
        </is>
      </c>
    </row>
    <row r="163">
      <c r="A163" s="629" t="inlineStr">
        <is>
          <t xml:space="preserve">  La fórmula mira en qué mes estamos y asigna la velocidad correspondiente según la fase. Ref: Onboarding fila 6.</t>
        </is>
      </c>
    </row>
    <row r="165">
      <c r="A165" s="160" t="inlineStr">
        <is>
          <t>② REFERIDOS DEL MES ANTERIOR — El voz a voz con lag de 1 mes</t>
        </is>
      </c>
    </row>
    <row r="166">
      <c r="A166" s="627" t="inlineStr">
        <is>
          <t>Cada restaurante nuevo (directo + alianzas) genera referidos. El parámetro actual es 2 referidos por restaurante (Supuestos Generales B91), pero se reparten en 2 meses: la mitad llega al mes siguiente, la otra mitad 2 meses después.</t>
        </is>
      </c>
    </row>
    <row r="167">
      <c r="A167" s="629" t="inlineStr">
        <is>
          <t xml:space="preserve">  Fórmula: (Directos + Alianzas del mes anterior) × 2 / 2 = 1 referido inmediato por restaurante nuevo</t>
        </is>
      </c>
    </row>
    <row r="169">
      <c r="A169" s="160" t="inlineStr">
        <is>
          <t>③ REFERIDOS DE 2 MESES ANTES — El segundo lag del voz a voz</t>
        </is>
      </c>
    </row>
    <row r="170">
      <c r="A170" s="627" t="inlineStr">
        <is>
          <t>La otra mitad de los referidos, con 2 meses de retraso. Esto modela la realidad: un restaurante no refiere el mismo día que se sube a la plataforma — toma semanas de uso antes de recomendarlo a un colega.</t>
        </is>
      </c>
    </row>
    <row r="172">
      <c r="A172" s="160" t="inlineStr">
        <is>
          <t>④ RESTAURANTES VÍA ALIANZAS — El motor de crecimiento institucional</t>
        </is>
      </c>
    </row>
    <row r="173">
      <c r="A173" s="627" t="inlineStr">
        <is>
          <t>Aquí está la clave del modelo. Hay 5 alianzas posibles, cada una con un toggle ON/OFF que se activa según el escenario:</t>
        </is>
      </c>
    </row>
    <row r="176">
      <c r="A176" s="628" t="inlineStr">
        <is>
          <t xml:space="preserve">  Alianza</t>
        </is>
      </c>
      <c r="B176" s="628" t="inlineStr">
        <is>
          <t xml:space="preserve">  Pipeline  |  Activa desde  |  Vel. máx (Pes)</t>
        </is>
      </c>
    </row>
    <row r="177">
      <c r="A177" s="627" t="inlineStr">
        <is>
          <t xml:space="preserve">  🔴 Coca-Cola Colombia</t>
        </is>
      </c>
      <c r="B177" s="627" t="inlineStr">
        <is>
          <t xml:space="preserve">  5,000 rest  |  Mes 6  |  15/mes</t>
        </is>
      </c>
    </row>
    <row r="178">
      <c r="A178" s="627" t="inlineStr">
        <is>
          <t xml:space="preserve">  🔵 ACODRES</t>
        </is>
      </c>
      <c r="B178" s="627" t="inlineStr">
        <is>
          <t xml:space="preserve">  12,000 rest  |  Mes 6  |  15/mes</t>
        </is>
      </c>
    </row>
    <row r="179">
      <c r="A179" s="627" t="inlineStr">
        <is>
          <t xml:space="preserve">  🟢 Bavaria Colombia</t>
        </is>
      </c>
      <c r="B179" s="627" t="inlineStr">
        <is>
          <t xml:space="preserve">  4,500 rest  |  Mes 12  |  OFF en Pesimista</t>
        </is>
      </c>
    </row>
    <row r="180">
      <c r="A180" s="627" t="inlineStr">
        <is>
          <t xml:space="preserve">  🟡 FEMSA México</t>
        </is>
      </c>
      <c r="B180" s="627" t="inlineStr">
        <is>
          <t xml:space="preserve">  50,000 rest  |  Mes 24  |  OFF en Pesimista</t>
        </is>
      </c>
    </row>
    <row r="181">
      <c r="A181" s="627" t="inlineStr">
        <is>
          <t xml:space="preserve">  🟠 CC Florida USA</t>
        </is>
      </c>
      <c r="B181" s="627" t="inlineStr">
        <is>
          <t xml:space="preserve">  5,000 rest  |  Mes 36  |  OFF en Pesimista</t>
        </is>
      </c>
    </row>
    <row r="183">
      <c r="A183" s="152" t="inlineStr">
        <is>
          <t>RAMP-UP LINEAL (las alianzas no arrancan a velocidad máxima)</t>
        </is>
      </c>
    </row>
    <row r="184">
      <c r="A184" s="627" t="inlineStr">
        <is>
          <t>Cada alianza empieza en 0 restaurantes/mes y crece gradualmente hasta alcanzar su tope en 24 meses (pesimista), 18 (base) o 12 (optimista).</t>
        </is>
      </c>
    </row>
    <row r="185">
      <c r="A185" s="629" t="inlineStr">
        <is>
          <t xml:space="preserve">  Fórmula: Rest/mes = MIN(máximo, ROUND(máximo × (mes − mes_activación + 1) / meses_ramp, 0))</t>
        </is>
      </c>
    </row>
    <row r="187">
      <c r="A187" s="627" t="inlineStr">
        <is>
          <t>Ejemplo: Coca-Cola en pesimista (15 rest/mes máx, ramp-up 24 meses, activa desde mes 6):</t>
        </is>
      </c>
    </row>
    <row r="188">
      <c r="A188" s="156" t="inlineStr">
        <is>
          <t xml:space="preserve">  Mes 6 → 1 rest/mes  |  Mes 12 → 5 rest/mes  |  Mes 18 → 8 rest/mes  |  Mes 29 → 15 rest/mes (máximo alcanzado)</t>
        </is>
      </c>
    </row>
    <row r="190">
      <c r="A190" s="627" t="inlineStr">
        <is>
          <t>Las alianzas colombianas (CC, ACODRES, Bavaria) tienen un ajuste de solapamiento del 35% en sus pipelines — porque muchos restaurantes están en la base de clientes de más de un aliado. FEMSA (México) y CC Florida (USA) no se solapan por ser mercados diferentes.</t>
        </is>
      </c>
    </row>
    <row r="192">
      <c r="A192" s="152" t="inlineStr">
        <is>
          <t>LA SALIDA: CHURN MENSUAL</t>
        </is>
      </c>
    </row>
    <row r="194">
      <c r="A194" s="627" t="inlineStr">
        <is>
          <t>Cada mes, un porcentaje de restaurantes activos se va. Pesimista: 5%/mes (muy conservador — implica perder la mitad de la base cada año). Base: 3%/mes. Optimista: 2%/mes. Fórmula: Churn = Restaurantes acumulados del mes anterior × % churn.</t>
        </is>
      </c>
    </row>
    <row r="196">
      <c r="A196" s="152" t="inlineStr">
        <is>
          <t>LA ECUACIÓN NETA DE CADA MES</t>
        </is>
      </c>
    </row>
    <row r="198">
      <c r="A198" s="630" t="inlineStr">
        <is>
          <t xml:space="preserve">  Restaurantes activos = Acumulado anterior + Directos orgánicos + Referidos(t−1) + Referidos(t−2) + Alianzas(con ramp-up) − Churn</t>
        </is>
      </c>
    </row>
    <row r="199">
      <c r="A199" s="629" t="inlineStr">
        <is>
          <t xml:space="preserve">  Ref: Onboarding fila 12. En el escenario pesimista, la evolución es:</t>
        </is>
      </c>
    </row>
    <row r="201">
      <c r="A201" s="627" t="inlineStr">
        <is>
          <t xml:space="preserve">  Mes 1: 2 directos + 0 referidos + 0 alianzas − 0 churn = 2 activos</t>
        </is>
      </c>
    </row>
    <row r="202">
      <c r="A202" s="627" t="inlineStr">
        <is>
          <t xml:space="preserve">  Mes 6: 4 directos + 8 referidos + 2 alianzas − 1 churn = 41 activos</t>
        </is>
      </c>
    </row>
    <row r="203">
      <c r="A203" s="627" t="inlineStr">
        <is>
          <t xml:space="preserve">  Mes 12: 8 directos + 30 referidos + 8 alianzas − 9 churn = 223 activos</t>
        </is>
      </c>
    </row>
    <row r="204">
      <c r="A204" s="627" t="inlineStr">
        <is>
          <t xml:space="preserve">  Mes 24: 14 directos + 72 referidos + 24 alianzas − 44 churn = 951 activos</t>
        </is>
      </c>
    </row>
    <row r="205">
      <c r="A205" s="156" t="inlineStr">
        <is>
          <t xml:space="preserve">  Mes 60: 20 directos + 100 referidos + 30 alianzas − 132 churn = 2,665 activos</t>
        </is>
      </c>
    </row>
    <row r="207">
      <c r="A207" s="152" t="inlineStr">
        <is>
          <t>LO QUE UN INVERSIONISTA DEBE ENTENDER</t>
        </is>
      </c>
    </row>
    <row r="209">
      <c r="A209" s="627" t="inlineStr">
        <is>
          <t xml:space="preserve">  1. El modelo no depende de una sola fuente. Hay 4 canales independientes que se refuerzan mutuamente (las alianzas generan referidos).</t>
        </is>
      </c>
    </row>
    <row r="210">
      <c r="A210" s="627" t="inlineStr">
        <is>
          <t xml:space="preserve">  2. El ramp-up lineal es realista, no "hockey stick". Las alianzas tardan 18–24 meses en alcanzar su máximo. Esto protege contra proyecciones fantasiosas.</t>
        </is>
      </c>
    </row>
    <row r="211">
      <c r="A211" s="627" t="inlineStr">
        <is>
          <t xml:space="preserve">  3. El churn del 5% mensual en pesimista es muy conservador. Implica perder la mitad de la base cada año. Aun así, el negocio llega a 2,665 restaurantes porque las entradas superan las salidas.</t>
        </is>
      </c>
    </row>
    <row r="212">
      <c r="A212" s="627" t="inlineStr">
        <is>
          <t xml:space="preserve">  4. Los referidos son un multiplicador gratuito (CAC = $0). Cada restaurante trae ~2 más con retraso, amplificando cualquier inversión en directos o alianzas sin costo adicional.</t>
        </is>
      </c>
    </row>
    <row r="213">
      <c r="A213" s="627" t="inlineStr">
        <is>
          <t xml:space="preserve">  5. El pipeline tiene techo. Las alianzas tienen un número finito de restaurantes (68,975 ajustado por solapamiento). El modelo calcula cuántos meses toma agotar cada pipeline, imponiendo un límite natural al crecimiento.</t>
        </is>
      </c>
    </row>
    <row r="215">
      <c r="A215" s="152" t="inlineStr">
        <is>
          <t>MESEROS Y MARCAS</t>
        </is>
      </c>
    </row>
    <row r="217">
      <c r="A217" s="627" t="inlineStr">
        <is>
          <t xml:space="preserve">  Meseros totales = Restaurantes activos × meseros ponderados por segmento (7.25 en Pesimista). Ref: Onboarding fila 18.</t>
        </is>
      </c>
    </row>
    <row r="218">
      <c r="A218" s="627" t="inlineStr">
        <is>
          <t xml:space="preserve">  Meseros activos = Meseros totales × % activación (75% Pes / 85% Base / 95% Opt). Ref: Onboarding fila 19.</t>
        </is>
      </c>
    </row>
    <row r="219">
      <c r="A219" s="627" t="inlineStr">
        <is>
          <t xml:space="preserve">  Marcas promedio por restaurante: inicia en 1 (Pes) / 2 (Base) / 3 (Opt), crece 1% mensual compuesto. Ref: Onboarding filas 22–23.</t>
        </is>
      </c>
    </row>
    <row r="221" ht="18" customHeight="1">
      <c r="A221" s="148" t="inlineStr">
        <is>
          <t>5. MODELO DE INGRESOS</t>
        </is>
      </c>
      <c r="B221" s="149" t="n"/>
    </row>
    <row r="223">
      <c r="A223" s="151" t="inlineStr">
        <is>
          <t>Los ingresos se dividen en dos grandes categorías: One-Off (transaccionales) y Recurrentes (mensuales).</t>
        </is>
      </c>
    </row>
    <row r="225">
      <c r="A225" s="152" t="inlineStr">
        <is>
          <t>INGRESOS ONE-OFF (Total 60m: $5,556,763)</t>
        </is>
      </c>
    </row>
    <row r="226">
      <c r="A226" s="155" t="inlineStr">
        <is>
          <t xml:space="preserve">  Componente</t>
        </is>
      </c>
      <c r="B226" s="155" t="inlineStr">
        <is>
          <t xml:space="preserve">  Total 60m</t>
        </is>
      </c>
    </row>
    <row r="227">
      <c r="A227" s="173" t="inlineStr">
        <is>
          <t xml:space="preserve">  SetUp Fee ($500 × restaurantes nuevos)</t>
        </is>
      </c>
      <c r="B227" s="697" t="n">
        <v>2581500</v>
      </c>
    </row>
    <row r="228">
      <c r="A228" s="165" t="inlineStr">
        <is>
          <t xml:space="preserve">  Entry Fee ($300 × nuevas marcas×rest)</t>
        </is>
      </c>
      <c r="B228" s="698" t="n">
        <v>2975263</v>
      </c>
    </row>
    <row r="229">
      <c r="A229" s="172" t="n"/>
      <c r="B229" s="172" t="n"/>
    </row>
    <row r="230">
      <c r="A230" s="152" t="inlineStr">
        <is>
          <t>INGRESOS RECURRENTES (Total 60m: $81,216,682)</t>
        </is>
      </c>
    </row>
    <row r="231">
      <c r="A231" s="155" t="inlineStr">
        <is>
          <t xml:space="preserve">  Componente</t>
        </is>
      </c>
      <c r="B231" s="155" t="inlineStr">
        <is>
          <t xml:space="preserve">  Total 60m</t>
        </is>
      </c>
    </row>
    <row r="232">
      <c r="A232" s="173" t="inlineStr">
        <is>
          <t xml:space="preserve">  SaaS Fee Restaurante (ARPU ponderado por segmento / mesero / mes)</t>
        </is>
      </c>
      <c r="B232" s="697" t="n">
        <v>7092720</v>
      </c>
    </row>
    <row r="233">
      <c r="A233" s="165" t="inlineStr">
        <is>
          <t xml:space="preserve">  SaaS Fee Marcas ($10/mesero/mes × marcas)</t>
        </is>
      </c>
      <c r="B233" s="698" t="n">
        <v>14518449</v>
      </c>
    </row>
    <row r="234">
      <c r="A234" s="515" t="inlineStr">
        <is>
          <t xml:space="preserve">  Fee Upgrade de Plan ($50 × % upgrade × restaurantes activos)</t>
        </is>
      </c>
      <c r="B234" s="698" t="n"/>
    </row>
    <row r="235">
      <c r="A235" s="165" t="inlineStr">
        <is>
          <t xml:space="preserve">  Super Monedas Restaurantes (bruto)</t>
        </is>
      </c>
      <c r="B235" s="698" t="n">
        <v>37827840</v>
      </c>
    </row>
    <row r="236">
      <c r="A236" s="165" t="inlineStr">
        <is>
          <t xml:space="preserve">  Super Monedas Marcas (bruto)</t>
        </is>
      </c>
      <c r="B236" s="698" t="n">
        <v>21777673</v>
      </c>
    </row>
    <row r="237">
      <c r="A237" s="172" t="n"/>
      <c r="B237" s="172" t="n"/>
    </row>
    <row r="238">
      <c r="A238" s="152" t="inlineStr">
        <is>
          <t>FÓRMULAS DE SUPER MONEDAS</t>
        </is>
      </c>
    </row>
    <row r="239">
      <c r="A239" s="153" t="inlineStr">
        <is>
          <t xml:space="preserve">  Super Monedas Restaurantes = meseros activos × $50/mes/mesero</t>
        </is>
      </c>
    </row>
    <row r="240">
      <c r="A240" s="154" t="inlineStr">
        <is>
          <t xml:space="preserve">  → Ingreso neto SM = meseros activos × $50 × 14% = $7.00/mesero/mes (rest) + marcas</t>
        </is>
      </c>
    </row>
    <row r="241">
      <c r="A241" s="153" t="inlineStr">
        <is>
          <t xml:space="preserve">  Super Monedas Marcas = meseros activos × $15 × marcas/rest × 28%</t>
        </is>
      </c>
    </row>
    <row r="243">
      <c r="A243" s="152" t="inlineStr">
        <is>
          <t>COMPOSICIÓN DE INGRESOS (60 meses)</t>
        </is>
      </c>
    </row>
    <row r="244">
      <c r="A244" s="164" t="inlineStr">
        <is>
          <t xml:space="preserve">  Categoría</t>
        </is>
      </c>
      <c r="B244" s="164" t="inlineStr">
        <is>
          <t xml:space="preserve">  % del Total</t>
        </is>
      </c>
    </row>
    <row r="245">
      <c r="A245" s="165" t="inlineStr">
        <is>
          <t xml:space="preserve">  One-Off (SetUp + Entry)</t>
        </is>
      </c>
      <c r="B245" s="167" t="n">
        <v>0.064</v>
      </c>
    </row>
    <row r="246">
      <c r="A246" s="165" t="inlineStr">
        <is>
          <t xml:space="preserve">  SaaS Fees (Rest + Marcas)</t>
        </is>
      </c>
      <c r="B246" s="167" t="n">
        <v>0.249</v>
      </c>
    </row>
    <row r="247">
      <c r="A247" s="165" t="inlineStr">
        <is>
          <t xml:space="preserve">  Super Monedas (Rest + Marcas)</t>
        </is>
      </c>
      <c r="B247" s="167" t="n">
        <v>0.6870000000000001</v>
      </c>
    </row>
    <row r="248">
      <c r="A248" s="172" t="n"/>
      <c r="B248" s="172" t="n"/>
    </row>
    <row r="249">
      <c r="A249" s="157" t="inlineStr">
        <is>
          <t xml:space="preserve">  → Las Super Monedas son el principal motor de ingresos, representando ~69% del total.</t>
        </is>
      </c>
    </row>
    <row r="251">
      <c r="A251" s="158" t="inlineStr">
        <is>
          <t xml:space="preserve">  Ingreso total (60m): $86,773,445 USD</t>
        </is>
      </c>
    </row>
    <row r="253" ht="18" customHeight="1">
      <c r="A253" s="148" t="inlineStr">
        <is>
          <t>6. ESTRUCTURA DE COSTOS</t>
        </is>
      </c>
      <c r="B253" s="149" t="n"/>
    </row>
    <row r="255">
      <c r="A255" s="151" t="inlineStr">
        <is>
          <t>Los costos se organizan en Costos Directos (variables, escalan con uso) y OPEX (fijos, escalan semestralmente).</t>
        </is>
      </c>
    </row>
    <row r="257">
      <c r="A257" s="152" t="inlineStr">
        <is>
          <t>COSTOS DIRECTOS — VARIABLES</t>
        </is>
      </c>
    </row>
    <row r="258">
      <c r="A258" s="164" t="inlineStr">
        <is>
          <t xml:space="preserve">  Componente</t>
        </is>
      </c>
      <c r="B258" s="164" t="inlineStr">
        <is>
          <t xml:space="preserve">  Total 60m</t>
        </is>
      </c>
    </row>
    <row r="259">
      <c r="A259" s="165" t="inlineStr">
        <is>
          <t xml:space="preserve">  Incentivos/premios ($3/mesero activo)</t>
        </is>
      </c>
      <c r="B259" s="698" t="n">
        <v>1418544</v>
      </c>
    </row>
    <row r="260">
      <c r="A260" s="165" t="inlineStr">
        <is>
          <t xml:space="preserve">  Costo redención Super Monedas (80% × (1-Margen SM): Pes 92%, Base 88%, Opt 85%)</t>
        </is>
      </c>
      <c r="B260" s="698" t="n">
        <v>42915969</v>
      </c>
    </row>
    <row r="261">
      <c r="A261" s="165" t="inlineStr">
        <is>
          <t xml:space="preserve">  Infraestructura ($0.50/mesero activo)</t>
        </is>
      </c>
      <c r="B261" s="698" t="n">
        <v>236424</v>
      </c>
    </row>
    <row r="262">
      <c r="A262" s="169" t="inlineStr">
        <is>
          <t xml:space="preserve">  Soporte ($25/restaurante activo)</t>
        </is>
      </c>
      <c r="B262" s="696" t="n">
        <v>1970200</v>
      </c>
    </row>
    <row r="265">
      <c r="A265" s="153" t="inlineStr">
        <is>
          <t>PROVISIÓN ERRORES Y FRAUDES (nueva v3.1)</t>
        </is>
      </c>
    </row>
    <row r="266">
      <c r="A266" s="153" t="inlineStr">
        <is>
          <t xml:space="preserve">  Componente</t>
        </is>
      </c>
      <c r="B266" t="inlineStr">
        <is>
          <t xml:space="preserve">  Total 60m</t>
        </is>
      </c>
    </row>
    <row r="267">
      <c r="A267" s="153" t="inlineStr">
        <is>
          <t xml:space="preserve">  Provisión errores humanos (1.5% Super Monedas)</t>
        </is>
      </c>
      <c r="B267" s="699" t="n">
        <v>894083</v>
      </c>
    </row>
    <row r="268">
      <c r="A268" s="153" t="inlineStr">
        <is>
          <t xml:space="preserve">  Provisión fraude (1.0% Super Monedas)</t>
        </is>
      </c>
      <c r="B268" s="699" t="n">
        <v>596055</v>
      </c>
    </row>
    <row r="269">
      <c r="A269" s="153" t="inlineStr">
        <is>
          <t xml:space="preserve">  Total Provisión Errores + Fraude</t>
        </is>
      </c>
      <c r="B269" s="699" t="n">
        <v>1490138</v>
      </c>
    </row>
    <row r="271">
      <c r="A271" s="152" t="inlineStr">
        <is>
          <t>COSTOS DE ENGAGEMENT Y PROMOCIÓN</t>
        </is>
      </c>
    </row>
    <row r="272">
      <c r="A272" s="155" t="inlineStr">
        <is>
          <t xml:space="preserve">  Componente</t>
        </is>
      </c>
      <c r="B272" s="155" t="inlineStr">
        <is>
          <t xml:space="preserve">  Total 60m</t>
        </is>
      </c>
    </row>
    <row r="273">
      <c r="A273" s="173" t="inlineStr">
        <is>
          <t xml:space="preserve">  Comunicaciones digitales ($1/mesero/mes)</t>
        </is>
      </c>
      <c r="B273" s="697" t="n">
        <v>472848</v>
      </c>
    </row>
    <row r="274">
      <c r="A274" s="165" t="inlineStr">
        <is>
          <t xml:space="preserve">  Engagement Managers ($1,500/EM, Pes: 1/75 rest, Base: 1/90 rest, Opt: 1/100 rest)</t>
        </is>
      </c>
      <c r="B274" s="698" t="n">
        <v>2407500</v>
      </c>
    </row>
    <row r="275">
      <c r="A275" s="165" t="inlineStr">
        <is>
          <t xml:space="preserve">  Agentes CS ($750/agente, 1 por 30 rest)</t>
        </is>
      </c>
      <c r="B275" s="698" t="n">
        <v>1990500</v>
      </c>
    </row>
    <row r="276">
      <c r="A276" s="165" t="inlineStr">
        <is>
          <t xml:space="preserve">  Gala Anual (+10%/año)</t>
        </is>
      </c>
      <c r="B276" s="698" t="n">
        <v>122126</v>
      </c>
    </row>
    <row r="277">
      <c r="A277" s="165" t="inlineStr">
        <is>
          <t xml:space="preserve">  Plataforma SaaS comunicaciones</t>
        </is>
      </c>
      <c r="B277" s="698" t="n">
        <v>12000</v>
      </c>
    </row>
    <row r="278">
      <c r="A278" s="172" t="n"/>
      <c r="B278" s="172" t="n"/>
    </row>
    <row r="279">
      <c r="A279" s="157" t="inlineStr">
        <is>
          <t xml:space="preserve">  → Nota: CS y EM fueron reclasificados de OPEX a Costos Directos por escalar con restaurantes.</t>
        </is>
      </c>
    </row>
    <row r="281">
      <c r="A281" s="152" t="inlineStr">
        <is>
          <t>OPEX — COSTOS FIJOS ($3,107,798 total)</t>
        </is>
      </c>
    </row>
    <row r="282">
      <c r="A282" s="164" t="inlineStr">
        <is>
          <t xml:space="preserve">  Componente</t>
        </is>
      </c>
      <c r="B282" s="164" t="inlineStr">
        <is>
          <t xml:space="preserve">  Base mensual</t>
        </is>
      </c>
    </row>
    <row r="283">
      <c r="A283" s="165" t="inlineStr">
        <is>
          <t xml:space="preserve">  Equipo Producto (2 devs + 1 UI/UX)</t>
        </is>
      </c>
      <c r="B283" s="698" t="n">
        <v>12000</v>
      </c>
    </row>
    <row r="284">
      <c r="A284" s="165" t="inlineStr">
        <is>
          <t xml:space="preserve">  Equipo Analítica (1 DA + 1 DE)</t>
        </is>
      </c>
      <c r="B284" s="698" t="n">
        <v>5000</v>
      </c>
    </row>
    <row r="285">
      <c r="A285" s="165" t="inlineStr">
        <is>
          <t xml:space="preserve">  Equipo Operaciones</t>
        </is>
      </c>
      <c r="B285" s="698" t="n">
        <v>3000</v>
      </c>
    </row>
    <row r="286">
      <c r="A286" s="165" t="inlineStr">
        <is>
          <t xml:space="preserve">  Equipo Ventas (2 ejecutivos)</t>
        </is>
      </c>
      <c r="B286" s="698" t="n">
        <v>6000</v>
      </c>
    </row>
    <row r="287">
      <c r="A287" s="165" t="inlineStr">
        <is>
          <t xml:space="preserve">  Administración y Legal</t>
        </is>
      </c>
      <c r="B287" s="698" t="n">
        <v>3000</v>
      </c>
    </row>
    <row r="288">
      <c r="A288" s="165" t="inlineStr">
        <is>
          <t xml:space="preserve">  Marketing base</t>
        </is>
      </c>
      <c r="B288" s="698" t="n">
        <v>2000</v>
      </c>
    </row>
    <row r="289">
      <c r="A289" s="165" t="inlineStr">
        <is>
          <t xml:space="preserve">  Otros gastos fijos</t>
        </is>
      </c>
      <c r="B289" s="698" t="n">
        <v>1500</v>
      </c>
    </row>
    <row r="290">
      <c r="A290" s="182" t="inlineStr">
        <is>
          <t xml:space="preserve">  TOTAL OPEX base mensual</t>
        </is>
      </c>
      <c r="B290" s="182" t="inlineStr">
        <is>
          <t xml:space="preserve">  $32,500/mes</t>
        </is>
      </c>
    </row>
    <row r="292">
      <c r="A292" s="154" t="inlineStr">
        <is>
          <t xml:space="preserve">  Step-up semestral: +10% cada 6 meses, CONDICIONAL a EBITDA positivo del semestre anterior. Incluye Gerente General ($3K–$15K variable) y Licencia Superlikers ($5K/mes fija).</t>
        </is>
      </c>
    </row>
    <row r="294">
      <c r="A294" s="159" t="inlineStr">
        <is>
          <t xml:space="preserve">  Total Costos (Directos + CAC + OPEX, 60m): $65,719,228 USD</t>
        </is>
      </c>
    </row>
    <row r="297" ht="18" customHeight="1">
      <c r="A297" s="148" t="inlineStr">
        <is>
          <t>7. CAC Y GO-TO-MARKET</t>
        </is>
      </c>
      <c r="B297" s="149" t="n"/>
    </row>
    <row r="299">
      <c r="A299" s="152" t="inlineStr">
        <is>
          <t>ESTRATEGIA DE ADQUISICIÓN</t>
        </is>
      </c>
    </row>
    <row r="300">
      <c r="A300" s="153" t="inlineStr">
        <is>
          <t xml:space="preserve">  El modelo contempla 2 tipos de CAC:</t>
        </is>
      </c>
    </row>
    <row r="301">
      <c r="A301" s="153" t="inlineStr">
        <is>
          <t xml:space="preserve">  • CAC directo (orgánico): $100/restaurante (venta directa, incluye comisiones de venta)</t>
        </is>
      </c>
    </row>
    <row r="302">
      <c r="A302" s="153" t="inlineStr">
        <is>
          <t xml:space="preserve">  • CAC alianzas: $60/restaurante (marketing, remarketing, incentivos a ejecutivos de marcas — SIN comisiones de venta)</t>
        </is>
      </c>
    </row>
    <row r="303">
      <c r="A303" s="154" t="inlineStr">
        <is>
          <t xml:space="preserve">  Parámetro editable en Palancas!B7. Las comisiones de venta (filas 15-22) solo aplican a restaurantes directos.</t>
        </is>
      </c>
    </row>
    <row r="305">
      <c r="A305" s="152" t="inlineStr">
        <is>
          <t>PROGRAMA DE REFERIDOS</t>
        </is>
      </c>
    </row>
    <row r="306">
      <c r="A306" s="153" t="inlineStr">
        <is>
          <t xml:space="preserve">  • Cada restaurante genera 2 referidos: 1 al mes siguiente, 1 a los 2 meses</t>
        </is>
      </c>
    </row>
    <row r="307">
      <c r="A307" s="153" t="inlineStr">
        <is>
          <t xml:space="preserve">  • Por cada 5 meseros afiliados vía referidos: 1 mesero gratis (12 meses)</t>
        </is>
      </c>
    </row>
    <row r="308">
      <c r="A308" s="153" t="inlineStr">
        <is>
          <t xml:space="preserve">  • Los referidos NO tienen costo de adquisición (CAC = $0)</t>
        </is>
      </c>
    </row>
    <row r="309">
      <c r="A309" s="153" t="n"/>
    </row>
    <row r="310">
      <c r="A310" s="153" t="inlineStr">
        <is>
          <t>COMISIONES DE VENTA (nueva v3.1)</t>
        </is>
      </c>
    </row>
    <row r="311">
      <c r="A311" s="153" t="inlineStr">
        <is>
          <t xml:space="preserve">  Las comisiones se pagan a los canales de adquisición sobre dos conceptos:</t>
        </is>
      </c>
    </row>
    <row r="312">
      <c r="A312" s="153" t="inlineStr">
        <is>
          <t xml:space="preserve">  (a) SetUp Fee: comisión única por cada restaurante nuevo vendido</t>
        </is>
      </c>
    </row>
    <row r="313">
      <c r="A313" s="153" t="inlineStr">
        <is>
          <t xml:space="preserve">  (b) Fees mensuales: comisión recurrente sobre ingresos del 1er año del restaurante</t>
        </is>
      </c>
    </row>
    <row r="314">
      <c r="A314" s="153" t="n"/>
    </row>
    <row r="315">
      <c r="A315" s="153" t="inlineStr">
        <is>
          <t xml:space="preserve">  MIX DE CANALES DE ADQUISICIÓN</t>
        </is>
      </c>
    </row>
    <row r="316">
      <c r="A316" s="153" t="inlineStr">
        <is>
          <t xml:space="preserve">  Canal</t>
        </is>
      </c>
      <c r="B316" t="inlineStr">
        <is>
          <t xml:space="preserve">  % del mix</t>
        </is>
      </c>
    </row>
    <row r="317">
      <c r="A317" s="153" t="inlineStr">
        <is>
          <t xml:space="preserve">  Vendedores propios</t>
        </is>
      </c>
      <c r="B317" s="216" t="n">
        <v>0.4</v>
      </c>
    </row>
    <row r="318">
      <c r="A318" s="153" t="inlineStr">
        <is>
          <t xml:space="preserve">  Vendedores externos (freelance)</t>
        </is>
      </c>
      <c r="B318" s="216" t="n">
        <v>0.2</v>
      </c>
    </row>
    <row r="319">
      <c r="A319" s="153" t="inlineStr">
        <is>
          <t xml:space="preserve">  Aliados estratégicos (ACODRES)</t>
        </is>
      </c>
      <c r="B319" s="216" t="n">
        <v>0.15</v>
      </c>
    </row>
    <row r="320">
      <c r="A320" s="153" t="inlineStr">
        <is>
          <t xml:space="preserve">  Partners POS</t>
        </is>
      </c>
      <c r="B320" s="216" t="n">
        <v>0.25</v>
      </c>
    </row>
    <row r="321">
      <c r="A321" s="153" t="n"/>
    </row>
    <row r="322">
      <c r="A322" s="153" t="inlineStr">
        <is>
          <t xml:space="preserve">  TASAS DE COMISIÓN POR CANAL</t>
        </is>
      </c>
    </row>
    <row r="323">
      <c r="A323" s="153" t="inlineStr">
        <is>
          <t xml:space="preserve">  Canal</t>
        </is>
      </c>
      <c r="B323" t="inlineStr">
        <is>
          <t xml:space="preserve">  SetUp / Fees 1er año</t>
        </is>
      </c>
    </row>
    <row r="324">
      <c r="A324" s="153" t="inlineStr">
        <is>
          <t xml:space="preserve">  Vendedores propios</t>
        </is>
      </c>
      <c r="B324" t="inlineStr">
        <is>
          <t xml:space="preserve">  5% / 3%</t>
        </is>
      </c>
    </row>
    <row r="325">
      <c r="A325" s="153" t="inlineStr">
        <is>
          <t xml:space="preserve">  Vendedores externos</t>
        </is>
      </c>
      <c r="B325" t="inlineStr">
        <is>
          <t xml:space="preserve">  15% / 15%</t>
        </is>
      </c>
    </row>
    <row r="326">
      <c r="A326" s="153" t="inlineStr">
        <is>
          <t xml:space="preserve">  Aliados estratégicos</t>
        </is>
      </c>
      <c r="B326" t="inlineStr">
        <is>
          <t xml:space="preserve">  8% / 8%</t>
        </is>
      </c>
    </row>
    <row r="327">
      <c r="A327" s="153" t="inlineStr">
        <is>
          <t xml:space="preserve">  Partners POS</t>
        </is>
      </c>
      <c r="B327" t="inlineStr">
        <is>
          <t xml:space="preserve">  12% / 12%</t>
        </is>
      </c>
    </row>
    <row r="328">
      <c r="A328" s="153" t="inlineStr">
        <is>
          <t xml:space="preserve">  Duración comisión sobre fees: 12 meses desde onboarding</t>
        </is>
      </c>
    </row>
    <row r="329">
      <c r="A329" s="153" t="n"/>
    </row>
    <row r="330">
      <c r="A330" s="153" t="inlineStr">
        <is>
          <t xml:space="preserve">  Total Comisiones de Venta (60m): $498,164 USD</t>
        </is>
      </c>
    </row>
    <row r="331">
      <c r="A331" s="153" t="n"/>
    </row>
    <row r="332">
      <c r="A332" s="153" t="inlineStr">
        <is>
          <t>PUBLICIDAD Y MARKETING (nueva v3.1)</t>
        </is>
      </c>
    </row>
    <row r="333">
      <c r="A333" s="153" t="inlineStr">
        <is>
          <t xml:space="preserve">  Presupuesto: 5% de ingresos totales, a partir del mes 13 (año 2)</t>
        </is>
      </c>
    </row>
    <row r="334">
      <c r="A334" s="153" t="inlineStr">
        <is>
          <t xml:space="preserve">  Incluye: pauta digital, eventos, ferias gastronómicas, contenido patrocinado</t>
        </is>
      </c>
    </row>
    <row r="335">
      <c r="A335" s="153" t="inlineStr">
        <is>
          <t xml:space="preserve">  Justificación: en año 1 se prioriza venta directa; en año 2+ se escala con marketing</t>
        </is>
      </c>
    </row>
    <row r="336">
      <c r="A336" s="153" t="inlineStr">
        <is>
          <t xml:space="preserve">  Total Publicidad y Marketing (60m): $4,289,774 USD</t>
        </is>
      </c>
    </row>
    <row r="337">
      <c r="A337" s="153" t="n"/>
    </row>
    <row r="338">
      <c r="A338" s="153" t="inlineStr">
        <is>
          <t>COMPOSICIÓN TOTAL CAC Y GTM (60m): $17,653,542 USD</t>
        </is>
      </c>
    </row>
    <row r="339">
      <c r="A339" s="153" t="inlineStr">
        <is>
          <t xml:space="preserve">  Componente</t>
        </is>
      </c>
      <c r="B339" t="inlineStr">
        <is>
          <t xml:space="preserve">  Total 60m</t>
        </is>
      </c>
    </row>
    <row r="340">
      <c r="A340" s="152" t="inlineStr">
        <is>
          <t xml:space="preserve">  CAC directo (adquisición orgánica)</t>
        </is>
      </c>
      <c r="B340" s="700" t="n">
        <v>176100</v>
      </c>
    </row>
    <row r="341">
      <c r="A341" s="164" t="inlineStr">
        <is>
          <t xml:space="preserve">  CAC alianzas (marketing/remarketing — $60/rest × rest vía alianzas)</t>
        </is>
      </c>
      <c r="B341" s="701" t="n">
        <v>498164</v>
      </c>
    </row>
    <row r="342">
      <c r="A342" s="165" t="inlineStr">
        <is>
          <t xml:space="preserve">  Comisiones de venta (solo sobre directos)</t>
        </is>
      </c>
      <c r="B342" s="698" t="n">
        <v>4289774</v>
      </c>
    </row>
    <row r="343">
      <c r="A343" s="165" t="inlineStr">
        <is>
          <t xml:space="preserve">  Publicidad y marketing + TOTAL CAC y GTM</t>
        </is>
      </c>
      <c r="B343" s="702" t="n">
        <v>4964038</v>
      </c>
    </row>
    <row r="344">
      <c r="A344" s="165" t="n"/>
      <c r="B344" s="165" t="n"/>
    </row>
    <row r="345">
      <c r="A345" s="169" t="inlineStr">
        <is>
          <t>UNIT ECONOMICS</t>
        </is>
      </c>
      <c r="B345" s="184" t="n"/>
    </row>
    <row r="346">
      <c r="A346" s="153" t="inlineStr">
        <is>
          <t xml:space="preserve">  Métrica</t>
        </is>
      </c>
      <c r="B346" t="inlineStr">
        <is>
          <t xml:space="preserve">  Valor</t>
        </is>
      </c>
    </row>
    <row r="347">
      <c r="A347" s="154" t="inlineStr">
        <is>
          <t xml:space="preserve">  CAC unitario (sin palancas)</t>
        </is>
      </c>
      <c r="B347" t="n">
        <v>100</v>
      </c>
    </row>
    <row r="348">
      <c r="A348" s="153" t="inlineStr">
        <is>
          <t xml:space="preserve">  CAC Blended (incl. comisiones+pub, Mes 60)</t>
        </is>
      </c>
      <c r="B348" s="700" t="n">
        <v>1693</v>
      </c>
    </row>
    <row r="349">
      <c r="A349" s="153" t="inlineStr">
        <is>
          <t xml:space="preserve">  LTV estimado por restaurante (12m)</t>
        </is>
      </c>
      <c r="B349" t="inlineStr">
        <is>
          <t xml:space="preserve">  $13,315 (Mes 60)</t>
        </is>
      </c>
    </row>
    <row r="350">
      <c r="A350" s="153" t="inlineStr">
        <is>
          <t xml:space="preserve">  LTV / CAC Blended (Mes 60)</t>
        </is>
      </c>
      <c r="B350" t="inlineStr">
        <is>
          <t xml:space="preserve">  7.9x</t>
        </is>
      </c>
    </row>
    <row r="351">
      <c r="A351" s="156" t="inlineStr">
        <is>
          <t xml:space="preserve">  → LTV/CAC de ~8x sigue siendo muy saludable. La inclusión de comisiones y publicidad reduce el ratio vs. el ~75x anterior, pero refleja el costo real total de adquisición.</t>
        </is>
      </c>
    </row>
    <row r="353" ht="18" customHeight="1">
      <c r="A353" s="148" t="inlineStr">
        <is>
          <t>8. ESTADOS FINANCIEROS (P&amp;L + CASH FLOW)</t>
        </is>
      </c>
      <c r="B353" s="149" t="n"/>
    </row>
    <row r="355">
      <c r="A355" s="151" t="inlineStr">
        <is>
          <t>La hoja "Estados Financieros" consolida todas las proyecciones en un P&amp;L mensual + flujo de caja + KPIs.</t>
        </is>
      </c>
    </row>
    <row r="357">
      <c r="A357" s="152" t="inlineStr">
        <is>
          <t>ESTRUCTURA DEL P&amp;L</t>
        </is>
      </c>
    </row>
    <row r="358">
      <c r="A358" s="164" t="inlineStr">
        <is>
          <t xml:space="preserve">  Línea</t>
        </is>
      </c>
      <c r="B358" s="164" t="inlineStr">
        <is>
          <t xml:space="preserve">  Fuente / Fórmula</t>
        </is>
      </c>
    </row>
    <row r="359">
      <c r="A359" s="165" t="inlineStr">
        <is>
          <t xml:space="preserve">  (+) Ingresos One-Off</t>
        </is>
      </c>
      <c r="B359" s="185" t="inlineStr">
        <is>
          <t xml:space="preserve">  = Ingresos!Total One-Off</t>
        </is>
      </c>
    </row>
    <row r="360">
      <c r="A360" s="165" t="inlineStr">
        <is>
          <t xml:space="preserve">  (+) Ingresos Recurrentes</t>
        </is>
      </c>
      <c r="B360" s="185" t="inlineStr">
        <is>
          <t xml:space="preserve">  = Ingresos!Total Recurrentes</t>
        </is>
      </c>
    </row>
    <row r="361">
      <c r="A361" s="166" t="inlineStr">
        <is>
          <t xml:space="preserve">  = Total Ingresos</t>
        </is>
      </c>
      <c r="B361" s="703" t="n">
        <v>86773445</v>
      </c>
    </row>
    <row r="362">
      <c r="A362" s="165" t="inlineStr">
        <is>
          <t xml:space="preserve">  (−) Costos Directos (incl. Provisión Errores/Fraude)</t>
        </is>
      </c>
      <c r="B362" s="185" t="inlineStr">
        <is>
          <t xml:space="preserve">  = Costos Directos!Total = $57,647,392</t>
        </is>
      </c>
    </row>
    <row r="363">
      <c r="A363" s="166" t="inlineStr">
        <is>
          <t xml:space="preserve">  = Utilidad Bruta</t>
        </is>
      </c>
      <c r="B363" s="187" t="inlineStr">
        <is>
          <t xml:space="preserve">  $29,126,053 (33.6%)</t>
        </is>
      </c>
    </row>
    <row r="364">
      <c r="A364" s="165" t="inlineStr">
        <is>
          <t xml:space="preserve">  (−) CAC y GTM (incl. Comisiones + Publicidad)</t>
        </is>
      </c>
      <c r="B364" s="185" t="inlineStr">
        <is>
          <t xml:space="preserve">  = CAC y GTM!Total = $4,964,038</t>
        </is>
      </c>
    </row>
    <row r="365">
      <c r="A365" s="166" t="inlineStr">
        <is>
          <t xml:space="preserve">  = Utilidad Bruta después de CAC</t>
        </is>
      </c>
      <c r="B365" s="704" t="n">
        <v>34863852</v>
      </c>
    </row>
    <row r="366">
      <c r="A366" s="166" t="inlineStr">
        <is>
          <t xml:space="preserve">  (−) OPEX Fijo</t>
        </is>
      </c>
      <c r="B366" s="168" t="inlineStr">
        <is>
          <t xml:space="preserve">  = OPEX!Total = $3,107,798</t>
        </is>
      </c>
    </row>
    <row r="367">
      <c r="A367" s="172" t="inlineStr">
        <is>
          <t xml:space="preserve">  = EBITDA</t>
        </is>
      </c>
      <c r="B367" s="172" t="inlineStr">
        <is>
          <t xml:space="preserve">  $21,054,217 (24.3%)</t>
        </is>
      </c>
    </row>
    <row r="368">
      <c r="A368" s="152" t="inlineStr">
        <is>
          <t xml:space="preserve">  (−) Impuestos sobre utilidades</t>
        </is>
      </c>
      <c r="B368" s="700" t="n">
        <v>7425773</v>
      </c>
    </row>
    <row r="369">
      <c r="A369" s="153" t="inlineStr">
        <is>
          <t xml:space="preserve">  = Utilidad Neta</t>
        </is>
      </c>
      <c r="B369" t="inlineStr">
        <is>
          <t xml:space="preserve">  $13,628,444 (15.7%)</t>
        </is>
      </c>
    </row>
    <row r="371">
      <c r="A371" s="152" t="inlineStr">
        <is>
          <t>HITOS FINANCIEROS CLAVE</t>
        </is>
      </c>
    </row>
    <row r="372">
      <c r="A372" s="155" t="inlineStr">
        <is>
          <t xml:space="preserve">  Hito</t>
        </is>
      </c>
      <c r="B372" s="155" t="inlineStr">
        <is>
          <t xml:space="preserve">  Cuándo</t>
        </is>
      </c>
    </row>
    <row r="373">
      <c r="A373" s="153" t="inlineStr">
        <is>
          <t xml:space="preserve">  EBITDA positivo por primera vez</t>
        </is>
      </c>
      <c r="B373" s="154" t="inlineStr">
        <is>
          <t xml:space="preserve">  Mes 8</t>
        </is>
      </c>
    </row>
    <row r="374">
      <c r="A374" s="153" t="inlineStr">
        <is>
          <t xml:space="preserve">  Caja mínima (valle de la muerte)</t>
        </is>
      </c>
      <c r="B374" s="153" t="inlineStr">
        <is>
          <t xml:space="preserve">  Mes 7: $351,887</t>
        </is>
      </c>
    </row>
    <row r="375">
      <c r="A375" s="153" t="inlineStr">
        <is>
          <t xml:space="preserve">  Caja supera $1M</t>
        </is>
      </c>
      <c r="B375" s="153" t="inlineStr">
        <is>
          <t xml:space="preserve">  Mes 18</t>
        </is>
      </c>
    </row>
    <row r="376">
      <c r="A376" s="173" t="inlineStr">
        <is>
          <t xml:space="preserve">  Caja supera $5M</t>
        </is>
      </c>
      <c r="B376" s="173" t="inlineStr">
        <is>
          <t xml:space="preserve">  Mes 31</t>
        </is>
      </c>
    </row>
    <row r="377">
      <c r="A377" s="188" t="n"/>
      <c r="B377" s="188" t="n"/>
    </row>
    <row r="378">
      <c r="A378" s="189" t="inlineStr">
        <is>
          <t>KPIs OPERATIVOS (Mes 60)</t>
        </is>
      </c>
      <c r="B378" s="188" t="n"/>
    </row>
    <row r="379">
      <c r="A379" s="166" t="inlineStr">
        <is>
          <t xml:space="preserve">  Restaurantes activos: 4,236  |  Meseros activos: 28,805  |  Ingreso/rest: $2,060/mes</t>
        </is>
      </c>
      <c r="B379" s="188" t="n"/>
    </row>
    <row r="380">
      <c r="A380" s="169" t="inlineStr">
        <is>
          <t xml:space="preserve">  Costo total/rest: $721/mes  |  Runway: NUNCA requiere financiamiento adicional</t>
        </is>
      </c>
      <c r="B380" s="172" t="n"/>
    </row>
    <row r="382">
      <c r="A382" s="158" t="inlineStr">
        <is>
          <t xml:space="preserve">  Caja Final Mes 60: $20,573,115 USD  |  ROI: 4,015% sobre $500K iniciales</t>
        </is>
      </c>
    </row>
    <row r="384">
      <c r="A384" s="161" t="inlineStr">
        <is>
          <t xml:space="preserve">  Nota: A partir de v3.1 el modelo incluye impuestos (35% sobre EBITDA positivo). Utilidad Neta = EBITDA − Impuestos. Caja Final = Caja Anterior + Utilidad Neta.</t>
        </is>
      </c>
    </row>
    <row r="386">
      <c r="A386" s="157" t="inlineStr">
        <is>
          <t xml:space="preserve">  El EBITDA es negativo los primeros 8 meses, consume ~$158K de los $500K iniciales. A partir del Mes 9 genera caja positiva sostenida.</t>
        </is>
      </c>
    </row>
    <row r="392" ht="18" customHeight="1">
      <c r="A392" s="148" t="inlineStr">
        <is>
          <t>9. ANÁLISIS DE ESCENARIOS</t>
        </is>
      </c>
      <c r="B392" s="149" t="n"/>
    </row>
    <row r="394">
      <c r="A394" s="151" t="inlineStr">
        <is>
          <t>El modelo incluye 3 escenarios predefinidos controlados por un selector en Escenarios!B4. Los directos/mes representan crecimiento ORGÁNICO PURO (sin alianzas). Las alianzas se controlan por separado en la hoja Palancas.</t>
        </is>
      </c>
    </row>
    <row r="396">
      <c r="A396" s="152" t="inlineStr">
        <is>
          <t>PARÁMETROS QUE VARÍAN POR ESCENARIO</t>
        </is>
      </c>
    </row>
    <row r="397">
      <c r="A397" s="190" t="inlineStr">
        <is>
          <t xml:space="preserve">  Parámetro</t>
        </is>
      </c>
      <c r="B397" s="190" t="inlineStr">
        <is>
          <t xml:space="preserve">  Pesimista / Base / Optimista</t>
        </is>
      </c>
    </row>
    <row r="398">
      <c r="A398" s="191" t="inlineStr">
        <is>
          <t xml:space="preserve">  Directos/mes — Fase 1 (Piloto)</t>
        </is>
      </c>
      <c r="B398" s="191" t="inlineStr">
        <is>
          <t xml:space="preserve">  1 / 2 / 3</t>
        </is>
      </c>
    </row>
    <row r="399">
      <c r="A399" s="191" t="inlineStr">
        <is>
          <t xml:space="preserve">  Directos/mes — Fase 2 (Tracción)</t>
        </is>
      </c>
      <c r="B399" s="191" t="inlineStr">
        <is>
          <t xml:space="preserve">  2 / 4 / 6</t>
        </is>
      </c>
    </row>
    <row r="400">
      <c r="A400" s="191" t="inlineStr">
        <is>
          <t xml:space="preserve">  Directos/mes — Fase 3 (Crecimiento)</t>
        </is>
      </c>
      <c r="B400" s="191" t="inlineStr">
        <is>
          <t xml:space="preserve">  4 / 7 / 10</t>
        </is>
      </c>
    </row>
    <row r="401">
      <c r="A401" s="191" t="inlineStr">
        <is>
          <t xml:space="preserve">  Directos/mes — Fase 4 (Consolidación)</t>
        </is>
      </c>
      <c r="B401" s="191" t="inlineStr">
        <is>
          <t xml:space="preserve">  7 / 12 / 18</t>
        </is>
      </c>
    </row>
    <row r="402">
      <c r="A402" s="191" t="inlineStr">
        <is>
          <t xml:space="preserve">  Directos/mes — Fase 5 (Madurez orgánica)</t>
        </is>
      </c>
      <c r="B402" s="191" t="inlineStr">
        <is>
          <t xml:space="preserve">  10 / 18 / 27</t>
        </is>
      </c>
    </row>
    <row r="403">
      <c r="A403" s="191" t="inlineStr">
        <is>
          <t xml:space="preserve">  Churn mensual restaurantes</t>
        </is>
      </c>
      <c r="B403" s="191" t="inlineStr">
        <is>
          <t xml:space="preserve">  5% / 3% / 2%</t>
        </is>
      </c>
    </row>
    <row r="404">
      <c r="A404" s="191" t="inlineStr">
        <is>
          <t xml:space="preserve">  % meseros activos</t>
        </is>
      </c>
      <c r="B404" s="191" t="inlineStr">
        <is>
          <t xml:space="preserve">  75% / 85% / 95%</t>
        </is>
      </c>
    </row>
    <row r="405">
      <c r="A405" s="191" t="inlineStr">
        <is>
          <t xml:space="preserve">  ARPU restaurante</t>
        </is>
      </c>
      <c r="B405" s="191" t="inlineStr">
        <is>
          <t xml:space="preserve">  $10 / $15 / $20</t>
        </is>
      </c>
    </row>
    <row r="406">
      <c r="A406" s="191" t="inlineStr">
        <is>
          <t xml:space="preserve">  ARPU marcas</t>
        </is>
      </c>
      <c r="B406" s="191" t="inlineStr">
        <is>
          <t xml:space="preserve">  $7 / $10 / $15</t>
        </is>
      </c>
    </row>
    <row r="407">
      <c r="A407" s="191" t="inlineStr">
        <is>
          <t xml:space="preserve">  Marcas/restaurante</t>
        </is>
      </c>
      <c r="B407" s="191" t="inlineStr">
        <is>
          <t xml:space="preserve">  1 / 2 / 3</t>
        </is>
      </c>
    </row>
    <row r="408">
      <c r="A408" s="191" t="inlineStr">
        <is>
          <t xml:space="preserve">  Crecimiento OPEX semestral</t>
        </is>
      </c>
      <c r="B408" s="191" t="inlineStr">
        <is>
          <t xml:space="preserve">  15% / 10% / 8%</t>
        </is>
      </c>
    </row>
    <row r="409">
      <c r="A409" s="192" t="inlineStr">
        <is>
          <t xml:space="preserve">  Soporte/restaurante</t>
        </is>
      </c>
      <c r="B409" s="192" t="inlineStr">
        <is>
          <t xml:space="preserve">  $30 / $25 / $20</t>
        </is>
      </c>
    </row>
    <row r="411">
      <c r="A411" s="152" t="inlineStr">
        <is>
          <t>CÓMO FUNCIONA</t>
        </is>
      </c>
    </row>
    <row r="412">
      <c r="A412" s="153" t="inlineStr">
        <is>
          <t xml:space="preserve">  1. Cambiar el valor de Escenarios!B4 (1=Pesimista, 2=Base, 3=Optimista)</t>
        </is>
      </c>
    </row>
    <row r="413">
      <c r="A413" s="153" t="inlineStr">
        <is>
          <t xml:space="preserve">  2. Fórmulas INDEX/MATCH en Supuestos Generales actualizan automáticamente los parámetros</t>
        </is>
      </c>
    </row>
    <row r="414">
      <c r="A414" s="153" t="inlineStr">
        <is>
          <t xml:space="preserve">  3. TODAS las hojas se recalculan instantáneamente (Onboarding → Ingresos → Costos → EE.FF.)</t>
        </is>
      </c>
    </row>
    <row r="415">
      <c r="A415" s="153" t="inlineStr">
        <is>
          <t>RESULTADOS POR ESCENARIO (v3.9: palancas + ramp-up + B68=2 + Margen SM + SM params + directos ajustados + CS/EM eficiencia por escenario)</t>
        </is>
      </c>
    </row>
    <row r="416">
      <c r="A416" s="152" t="inlineStr">
        <is>
          <t xml:space="preserve">  Pesimista (2 alianzas CC+ACODRES, ramp 24m, SM 10%, SM $25/$10, directos 2/4/8/14/20):   Ingresos $23.0M  |  EBITDA +$140K  |  Caja $505K  |  2,665 rest  |  EBITDA+ mes 26</t>
        </is>
      </c>
    </row>
    <row r="417">
      <c r="A417" s="154" t="inlineStr">
        <is>
          <t xml:space="preserve">  Base (2 alianzas CC+ACODRES, ramp 18m, SM 15%, SM $35/$20, directos 3/5/9/15/22):          Ingresos $161.0M  |  EBITDA $49.1M  |  Caja $32.4M  |  5,383 rest  |  EBITDA+ mes 8</t>
        </is>
      </c>
    </row>
    <row r="418">
      <c r="A418" s="153" t="inlineStr">
        <is>
          <t xml:space="preserve">  Optimista (5 alianzas, ramp 12m, SM 15%, SM $50/$25, directos 3/6/10/18/27):                Ingresos $959.9M  |  EBITDA $396.1M  |  Caja $257.9M  |  15,112 rest  |  EBITDA+ mes 7</t>
        </is>
      </c>
    </row>
    <row r="419">
      <c r="A419" s="153" t="inlineStr">
        <is>
          <t xml:space="preserve">  → Los 3 escenarios son rentables (v3.9). Pesimista en break-even operativo. Base y Optimista altamente rentables. Mayor eficiencia CS/EM en escenarios más maduros.</t>
        </is>
      </c>
    </row>
    <row r="420">
      <c r="A420" s="158" t="inlineStr">
        <is>
          <t xml:space="preserve">  → Sin alianzas (todos los toggles OFF): ~1,343 rest, modelo orgánico modesto pero viable.</t>
        </is>
      </c>
    </row>
    <row r="423">
      <c r="A423" t="inlineStr">
        <is>
          <t>ANÁLISIS POR ESCENARIO PARA INVERSIONISTA</t>
        </is>
      </c>
    </row>
    <row r="425">
      <c r="A425" t="inlineStr">
        <is>
          <t>🔴 Escenario PESIMISTA — "CC + ACODRES con parámetros conservadores"</t>
        </is>
      </c>
    </row>
    <row r="426">
      <c r="A426" t="inlineStr">
        <is>
          <t xml:space="preserve">  • 2 alianzas activas: Coca-Cola + ACODRES. Directos orgánicos: 2/4/8/14/20 rest/mes por fase.</t>
        </is>
      </c>
    </row>
    <row r="427">
      <c r="A427" t="inlineStr">
        <is>
          <t xml:space="preserve">  • Ramp-up lento: 24 meses para alcanzar velocidad máxima. SM param conservadores: $20/$8 compra, 90% redención, 8% breakage, 80% efectivo.</t>
        </is>
      </c>
    </row>
    <row r="428">
      <c r="A428" t="inlineStr">
        <is>
          <t xml:space="preserve">  • Resultado: Con margen SM 10%, CC encendida, SM $25/$10 por mesero, la empresa genera EBITDA +$140K y caja final $505K. 2,665 restaurantes al mes 60. Break-even sólido.</t>
        </is>
      </c>
    </row>
    <row r="429">
      <c r="A429" t="inlineStr">
        <is>
          <t xml:space="preserve">  • Para inversionistas: En el peor escenario, el negocio es break-even a 60 meses. La estructura de costos condicionales protege contra espirales de gasto. La caja final de $405K demuestra viabilidad sin financiamiento adicional.</t>
        </is>
      </c>
    </row>
    <row r="431">
      <c r="A431" t="inlineStr">
        <is>
          <t>🟡 Escenario BASE — "CC + ACODRES"</t>
        </is>
      </c>
    </row>
    <row r="432">
      <c r="A432" t="inlineStr">
        <is>
          <t xml:space="preserve">  • 2 alianzas activas: Coca-Cola (exclusividad confirmada) + ACODRES (las más probables). Directos orgánicos: 3/5/9/15/22 rest/mes.</t>
        </is>
      </c>
    </row>
    <row r="433">
      <c r="A433" t="inlineStr">
        <is>
          <t xml:space="preserve">  • Ramp-up moderado: 18 meses para alcanzar 25 rest/mes por alianza. SM params: $30/$15 compra, 85% redención, 10% breakage, 70% efectivo.</t>
        </is>
      </c>
    </row>
    <row r="434">
      <c r="A434" t="inlineStr">
        <is>
          <t xml:space="preserve">  • Resultado: Negocio sólido con $49.1M EBITDA acumulado y 5,383 restaurantes activos. EBITDA positivo desde mes 8. Caja de $32.4M al mes 60. SM $35/$20 por mesero.</t>
        </is>
      </c>
    </row>
    <row r="435">
      <c r="A435" t="inlineStr">
        <is>
          <t xml:space="preserve">  • Para inversionistas: Retorno atractivo. Con $500K de inversión, se genera $32.4M de caja en 5 años (65x).</t>
        </is>
      </c>
    </row>
    <row r="437">
      <c r="A437" t="inlineStr">
        <is>
          <t>🟢 Escenario OPTIMISTA — "Todas las alianzas"</t>
        </is>
      </c>
    </row>
    <row r="438">
      <c r="A438" t="inlineStr">
        <is>
          <t xml:space="preserve">  • 5 alianzas activas: CC + ACODRES + Bavaria + FEMSA (México) + CC Florida (USA). Directos: 3/6/10/18/27.</t>
        </is>
      </c>
    </row>
    <row r="439">
      <c r="A439" t="inlineStr">
        <is>
          <t xml:space="preserve">  • Ramp-up rápido: 12 meses para alcanzar 35 rest/mes por alianza mayor (15 rest/mes CC Florida)</t>
        </is>
      </c>
    </row>
    <row r="440">
      <c r="A440" t="inlineStr">
        <is>
          <t xml:space="preserve">  • Resultado: Hiper-crecimiento. 15,112 restaurantes en 3 mercados. $396.1M EBITDA acumulado. $257.9M de caja. SM $50/$25 por mesero.</t>
        </is>
      </c>
    </row>
    <row r="441">
      <c r="A441" t="inlineStr">
        <is>
          <t xml:space="preserve">  • Para inversionistas: Potencial de $300M+ en valuación al año 5. Exit posible vía adquisición por plataforma global de pagos o food-tech. FEMSA como anchor investor podría acelerar la expansión en México (50K+ restaurantes gerenciados).</t>
        </is>
      </c>
    </row>
    <row r="443">
      <c r="A443" t="inlineStr">
        <is>
          <t xml:space="preserve">  NOTA: En v3.9, CS/EM ratios ajustados por eficiencia: Pes 75/50, Base 90/65, Opt 100/80 rest/agente (mayor escala = mayor eficiencia). Directos Base 3/5/9/15/22. Pesimista CC encendida. Margen SM: Pes 10%, Base 15%, Opt 15%. 5 params SM por escenario. B68=2.</t>
        </is>
      </c>
    </row>
    <row r="447" ht="18" customHeight="1">
      <c r="A447" s="148" t="inlineStr">
        <is>
          <t>10. TABLAS DE SENSIBILIDAD</t>
        </is>
      </c>
      <c r="B447" s="149" t="n"/>
    </row>
    <row r="449">
      <c r="A449" s="151" t="inlineStr">
        <is>
          <t>El modelo incluye 2 tablas de sensibilidad precalculadas en la hoja Escenarios (filas 62–84). Recalculadas con ramp-up lineal activo, B68=2, SM params por escenario, y margen SM diferenciado (Pes 10%, Base 15%, Opt 15%). 196 fórmulas CHOOSE() que generan resultados en tiempo real.</t>
        </is>
      </c>
    </row>
    <row r="451">
      <c r="A451" s="152" t="inlineStr">
        <is>
          <t>TABLA 1: EBITDA Acumulado (60m)</t>
        </is>
      </c>
    </row>
    <row r="452">
      <c r="A452" s="153" t="inlineStr">
        <is>
          <t xml:space="preserve">  Eje vertical: Churn mensual (1% a 5%)</t>
        </is>
      </c>
    </row>
    <row r="453">
      <c r="A453" s="153" t="inlineStr">
        <is>
          <t xml:space="preserve">  Rango de resultados Base: $35.0M (peor) a $75.2M (mejor). SM $35/$20. Margen SM 15%. Directos 3/5/9/15/22. 90 rest/EM, 65 rest/CS. Recalculado v3.9.</t>
        </is>
      </c>
    </row>
    <row r="454">
      <c r="A454" s="154" t="inlineStr">
        <is>
          <t xml:space="preserve">  Caso base resaltado en amarillo (churn 3%, ARPU $15).</t>
        </is>
      </c>
    </row>
    <row r="455">
      <c r="A455" s="153" t="n"/>
    </row>
    <row r="457">
      <c r="A457" s="152" t="inlineStr">
        <is>
          <t>TABLA 2: Caja Final (Mes 60)</t>
        </is>
      </c>
    </row>
    <row r="458">
      <c r="A458" s="153" t="inlineStr">
        <is>
          <t xml:space="preserve">  Rango de resultados Base: $26.3M (peor) a $38.3M (mejor). SM $35/$20. Margen SM 15%. Directos 3/5/9/15/22. 90 rest/EM, 65 rest/CS. Recalculado v3.9.</t>
        </is>
      </c>
    </row>
    <row r="459">
      <c r="A459" s="153" t="inlineStr">
        <is>
          <t xml:space="preserve">  Caso base resaltado en amarillo (10% OPEX growth, 1.0x onboarding).</t>
        </is>
      </c>
    </row>
    <row r="460">
      <c r="A460" s="154" t="n"/>
    </row>
    <row r="461">
      <c r="A461" s="153" t="n"/>
    </row>
    <row r="463">
      <c r="A463" s="152" t="inlineStr">
        <is>
          <t>METODOLOGÍA DE CÁLCULO</t>
        </is>
      </c>
    </row>
    <row r="464">
      <c r="A464" s="153" t="inlineStr">
        <is>
          <t xml:space="preserve">  Las tablas fueron precalculadas usando Python (no formulas de Excel) por complejidad computacional.</t>
        </is>
      </c>
    </row>
    <row r="465">
      <c r="A465" s="153" t="inlineStr">
        <is>
          <t xml:space="preserve">  Proceso: Para cada combinación de parámetros, se simuló el modelo completo de 60 meses</t>
        </is>
      </c>
    </row>
    <row r="466">
      <c r="A466" s="153" t="inlineStr">
        <is>
          <t xml:space="preserve">  (onboarding → ingresos → costos → EBITDA/Caja) y se registró el resultado final.</t>
        </is>
      </c>
    </row>
    <row r="468">
      <c r="A468" s="152" t="inlineStr">
        <is>
          <t>INSIGHTS CLAVE</t>
        </is>
      </c>
    </row>
    <row r="469">
      <c r="A469" s="154" t="inlineStr">
        <is>
          <t xml:space="preserve">  • El churn sigue siendo la variable más sensible: reducirlo de 3% a 1% mejora EBITDA en ~$12M</t>
        </is>
      </c>
    </row>
    <row r="470">
      <c r="A470" s="153" t="inlineStr">
        <is>
          <t xml:space="preserve">  • El ARPU tiene mayor impacto que el ritmo de onboarding orgánico (las alianzas dominan el volumen)</t>
        </is>
      </c>
    </row>
    <row r="471">
      <c r="A471" s="154" t="inlineStr">
        <is>
          <t xml:space="preserve">  • El ARPU tiene mayor impacto que el ritmo de onboarding orgánico (las alianzas dominan el volumen)</t>
        </is>
      </c>
    </row>
    <row r="472">
      <c r="A472" s="156" t="inlineStr">
        <is>
          <t xml:space="preserve">  • La caja final es positiva en TODOS los escenarios de sensibilidad ($26.3M mínimo en Base)</t>
        </is>
      </c>
    </row>
    <row r="475" ht="18" customHeight="1">
      <c r="A475" s="148" t="inlineStr">
        <is>
          <t>11. SISTEMA DE PALANCAS DE CRECIMIENTO</t>
        </is>
      </c>
    </row>
    <row r="477">
      <c r="A477" t="inlineStr">
        <is>
          <t>La hoja 'Palancas' gestiona alianzas estratégicas vinculadas al selector de escenario. Los toggles ON/OFF, las velocidades (rest/mes) y el ramp-up cambian automáticamente al seleccionar Pesimista/Base/Optimista. Cada alianza parte de 0 rest/mes y crece linealmente hasta alcanzar su máximo en el periodo de ramp-up definido por escenario.</t>
        </is>
      </c>
    </row>
    <row r="479">
      <c r="A479" t="inlineStr">
        <is>
          <t>PARÁMETROS GLOBALES</t>
        </is>
      </c>
    </row>
    <row r="480">
      <c r="A480" t="inlineStr">
        <is>
          <t xml:space="preserve">  % Solapamiento entre alianzas: 35% (editable). Se aplica a CC, ACODRES y Bavaria (Colombia). FEMSA (México) y CC Florida (USA) no tienen solapamiento.</t>
        </is>
      </c>
    </row>
    <row r="481">
      <c r="A481" t="inlineStr">
        <is>
          <t xml:space="preserve">  Pipeline neto total (ajustado solapamiento): 68,975 restaurantes. Meses de ramp-up: Pes=24, Base=18, Opt=12 (Escenarios!D39:F39 → Palancas!B10).</t>
        </is>
      </c>
    </row>
    <row r="482">
      <c r="A482" t="inlineStr">
        <is>
          <t xml:space="preserve">  CAC por restaurante vía alianzas: $60 USD (editable en Palancas!B9). ~60% del CAC directo. Cubre marketing, remarketing e incentivos a ejecutivos de marcas.</t>
        </is>
      </c>
    </row>
    <row r="484">
      <c r="A484" t="inlineStr">
        <is>
          <t>ALIANZAS POR ESCENARIO</t>
        </is>
      </c>
    </row>
    <row r="485">
      <c r="A485" t="inlineStr">
        <is>
          <t xml:space="preserve">                          Pesimista         Base              Optimista</t>
        </is>
      </c>
    </row>
    <row r="486">
      <c r="A486" t="inlineStr">
        <is>
          <t xml:space="preserve">  Coca-Cola (Colombia)    ON (15 rest/mes)  ON (25 rest/mes)  ON (35 rest/mes)</t>
        </is>
      </c>
    </row>
    <row r="487">
      <c r="A487" t="inlineStr">
        <is>
          <t xml:space="preserve">  ACODRES (Colombia)      ON (15 rest/mes)  ON (25 rest/mes)  ON (35 rest/mes)</t>
        </is>
      </c>
    </row>
    <row r="488">
      <c r="A488" t="inlineStr">
        <is>
          <t xml:space="preserve">  Bavaria (Colombia)      OFF               OFF               ON (35 rest/mes)</t>
        </is>
      </c>
    </row>
    <row r="489">
      <c r="A489" t="inlineStr">
        <is>
          <t xml:space="preserve">  FEMSA (México)          OFF               OFF               ON (35 rest/mes)</t>
        </is>
      </c>
    </row>
    <row r="490">
      <c r="A490" t="inlineStr">
        <is>
          <t xml:space="preserve">  CC Florida (USA)        OFF               OFF               ON (15 rest/mes)</t>
        </is>
      </c>
    </row>
    <row r="492">
      <c r="A492" t="inlineStr">
        <is>
          <t xml:space="preserve">  Total alianzas/mes (MAX):  30 (Pes, tras 24m: CC 15 + ACO 15)  |  50 (Base, tras 18m)  |  155 (Opt, tras 12m). Arrancan en 0 y crecen linealmente.</t>
        </is>
      </c>
    </row>
    <row r="493">
      <c r="A493" t="inlineStr">
        <is>
          <t xml:space="preserve">  Pipelines, mes activación y solapamiento no cambian por escenario — solo toggles, velocidades y ramp-up.</t>
        </is>
      </c>
    </row>
    <row r="495">
      <c r="A495" t="inlineStr">
        <is>
          <t>RAMP-UP LINEAL DE ALIANZAS (v3.5)</t>
        </is>
      </c>
    </row>
    <row r="496">
      <c r="A496" t="inlineStr">
        <is>
          <t xml:space="preserve">  Cada alianza arranca con 0 rest/mes en su mes de activación y crece linealmente hasta el máximo.</t>
        </is>
      </c>
    </row>
    <row r="497">
      <c r="A497" t="inlineStr">
        <is>
          <t xml:space="preserve">  Fórmula: MIN(rest_max, ROUND(rest_max × (mes - mes_activación + 1) / meses_ramp, 0))</t>
        </is>
      </c>
    </row>
    <row r="498">
      <c r="A498" t="inlineStr">
        <is>
          <t xml:space="preserve">  Ejemplo Base (CC a 25 rest/mes, ramp 18m): Mes 6→1, Mes 12→10, Mes 18→18, Mes 23→25 (max alcanzado)</t>
        </is>
      </c>
    </row>
    <row r="499">
      <c r="A499" t="inlineStr">
        <is>
          <t xml:space="preserve">  Los restaurantes vía alianzas TAMBIÉN generan referidos (voz a voz), multiplicando el efecto.</t>
        </is>
      </c>
    </row>
    <row r="501">
      <c r="A501" t="inlineStr">
        <is>
          <t>IMPACTO EN ONBOARDING POR ESCENARIO (con ramp-up)</t>
        </is>
      </c>
    </row>
    <row r="502">
      <c r="A502" t="inlineStr">
        <is>
          <t xml:space="preserve">  Pesimista (ramp 24m, directos 2/4/8/14/20): 0→30 rest/mes gradual desde mes 1 (CC + ACODRES). Rest mes 60: 2,665.</t>
        </is>
      </c>
    </row>
    <row r="503">
      <c r="A503" t="inlineStr">
        <is>
          <t xml:space="preserve">  Base (ramp 18m, directos 3/5/9/15/22): 0→50 rest/mes gradual desde mes 1 (CC + ACODRES). Rest mes 60: 5,383.</t>
        </is>
      </c>
    </row>
    <row r="504">
      <c r="A504" t="inlineStr">
        <is>
          <t xml:space="preserve">  Optimista (ramp 12m, directos 3/6/10/18/27): 0→155 rest/mes gradual (5 alianzas escalonadas). Rest mes 60: 15,112.</t>
        </is>
      </c>
    </row>
    <row r="505">
      <c r="A505" t="inlineStr">
        <is>
          <t xml:space="preserve">  Fórmula Onboarding!B9: =IF(AND(toggle=1, mes&gt;=act), MIN(max, ROUND(max*(mes-act+1)/ramp, 0)), 0) × 5 alianzas</t>
        </is>
      </c>
    </row>
    <row r="508" ht="18" customHeight="1">
      <c r="A508" s="148" t="inlineStr">
        <is>
          <t>12. VALORACIÓN INTERACTIVA</t>
        </is>
      </c>
    </row>
    <row r="510">
      <c r="A510" t="inlineStr">
        <is>
          <t>La hoja 'Valoración' ofrece al inversionista una herramienta para calcular rangos de valoración pre-money con 3 métodos y 3 tablas de sensibilidad. 100% dinámica: se actualiza con el escenario activo y los toggles de alianzas.</t>
        </is>
      </c>
    </row>
    <row r="512">
      <c r="A512" t="inlineStr">
        <is>
          <t>INPUTS EDITABLES (celdas amarillas)</t>
        </is>
      </c>
    </row>
    <row r="513">
      <c r="A513" t="inlineStr">
        <is>
          <t xml:space="preserve">  • Pipeline por alianza: vinculados a hoja Palancas (CC 5K, ACODRES 12K, CCF 5K, Bavaria 4.5K, FEMSA 50K)</t>
        </is>
      </c>
    </row>
    <row r="514">
      <c r="A514" t="inlineStr">
        <is>
          <t xml:space="preserve">  • % conversión pipeline (60%) | Meseros/rest (8) | Múltiplo ARR (5x) | Monto a levantar ($750K)</t>
        </is>
      </c>
    </row>
    <row r="515">
      <c r="A515" t="inlineStr">
        <is>
          <t xml:space="preserve">  • Unit economics (% meseros activos, ARPU rest/marcas, marcas/rest) → vinculados a Supuestos Generales, cambian con escenario</t>
        </is>
      </c>
    </row>
    <row r="517">
      <c r="A517" t="inlineStr">
        <is>
          <t>3 MÉTODOS DE VALORACIÓN</t>
        </is>
      </c>
    </row>
    <row r="518">
      <c r="A518" t="inlineStr">
        <is>
          <t xml:space="preserve">  M1 — Pipeline ARR: Pipeline × conversión × MRR/mesero × 12 × múltiplo</t>
        </is>
      </c>
    </row>
    <row r="519">
      <c r="A519" t="inlineStr">
        <is>
          <t xml:space="preserve">  M2 — Model ARR: ARR del modelo (mes 60) × múltiplo con descuento</t>
        </is>
      </c>
    </row>
    <row r="520">
      <c r="A520" t="inlineStr">
        <is>
          <t xml:space="preserve">  M3 — Promedio Ponderado: =(Pipeline ARR × C23) + (Model ARR × (1-C23)). C23 = 30% peso Pipeline (celda amarilla editable). Actualmente 30/70 → más peso al ARR real del modelo.</t>
        </is>
      </c>
    </row>
    <row r="522">
      <c r="A522" t="inlineStr">
        <is>
          <t>3 TABLAS DE SENSIBILIDAD</t>
        </is>
      </c>
    </row>
    <row r="523">
      <c r="A523" t="inlineStr">
        <is>
          <t xml:space="preserve">  T1: Pre-Money por Múltiplo × Conversión | T2: Dilución por Pre-Money × Monto | T3: Retorno por Pre-Money × Exit</t>
        </is>
      </c>
    </row>
    <row r="524">
      <c r="A524" t="inlineStr">
        <is>
          <t xml:space="preserve">  → Pipeline total: 76,500 rest. Valoración recalcula con escenario y toggles.</t>
        </is>
      </c>
    </row>
    <row r="525">
      <c r="A525" t="inlineStr">
        <is>
          <t xml:space="preserve">  → Referencia técnica: Valoración (sheetId:13). Pipeline C6:C10 = fórmulas a Palancas. Unit economics C15:C18 = fórmulas a SupGen.</t>
        </is>
      </c>
    </row>
    <row r="528" ht="18" customHeight="1">
      <c r="A528" s="148" t="inlineStr">
        <is>
          <t>12b. UNIT ECONOMICS — SIMULADOR POR RESTAURANTE</t>
        </is>
      </c>
    </row>
    <row r="530">
      <c r="A530" t="inlineStr">
        <is>
          <t>La hoja 'Unit Economics' (sheetId:16) es un simulador diseñado para reuniones con inversionistas. Permite visualizar la economía de un restaurante individual y escalar dinámicamente.</t>
        </is>
      </c>
    </row>
    <row r="532">
      <c r="A532" t="inlineStr">
        <is>
          <t>ESTRUCTURA</t>
        </is>
      </c>
    </row>
    <row r="533">
      <c r="A533" t="inlineStr">
        <is>
          <t xml:space="preserve">  • B5: Input editable (número de restaurantes) — celda amarilla</t>
        </is>
      </c>
    </row>
    <row r="534">
      <c r="A534" t="inlineStr">
        <is>
          <t xml:space="preserve">  • C2: Indicador de escenario activo con formato condicional (rojo=Pesimista, verde=Base, azul=Optimista)</t>
        </is>
      </c>
    </row>
    <row r="535">
      <c r="A535" t="inlineStr">
        <is>
          <t xml:space="preserve">  • D2: Hyperlink '✏️ Cambiar →' para navegar al selector de escenarios</t>
        </is>
      </c>
    </row>
    <row r="536">
      <c r="A536" t="inlineStr">
        <is>
          <t xml:space="preserve">  • Parámetros (filas 8-11): vinculados a Supuestos Generales, cambian con escenario</t>
        </is>
      </c>
    </row>
    <row r="537">
      <c r="A537" t="inlineStr">
        <is>
          <t xml:space="preserve">  • Ingresos One-Off (filas 14-16): SetUp + Entry × marcas</t>
        </is>
      </c>
    </row>
    <row r="538">
      <c r="A538" t="inlineStr">
        <is>
          <t xml:space="preserve">  • Ingresos Recurrentes (filas 19-27): SaaS Rest + SaaS Marcas + SM bruto. C26=C19+C20+C23 (usa SM bruto, no neto)</t>
        </is>
      </c>
    </row>
    <row r="539">
      <c r="A539" t="inlineStr">
        <is>
          <t xml:space="preserve">  • Escalamiento (filas 30-35): multiplica por B5 (input inversionista)</t>
        </is>
      </c>
    </row>
    <row r="541">
      <c r="A541" t="inlineStr">
        <is>
          <t>VALORES POR ESCENARIO: Pes One-Off $800, Recurrente $195/mes, Anualizado $2,340 | Base One-Off $1,100, Recurrente $748/mes, Anualizado $8,976 | Opt One-Off $1,400, Recurrente $1,805/mes, Anualizado $21,660</t>
        </is>
      </c>
    </row>
    <row r="542">
      <c r="A542" t="inlineStr">
        <is>
          <t xml:space="preserve">  → El inversionista puede cambiar B5 para simular portafolio completo y cambiar escenario en Escenarios!B4 para ver Pes/Base/Opt.</t>
        </is>
      </c>
    </row>
    <row r="543" ht="18" customHeight="1">
      <c r="A543" s="148" t="inlineStr">
        <is>
          <t>13. ESCENARIO 2 — RESUMEN EJECUTIVO PARA INVERSIONISTA</t>
        </is>
      </c>
    </row>
    <row r="545">
      <c r="A545" t="inlineStr">
        <is>
          <t>¿DE DÓNDE VIENE EL INGRESO RECURRENTE?</t>
        </is>
      </c>
    </row>
    <row r="546">
      <c r="A546" t="inlineStr">
        <is>
          <t xml:space="preserve">  El ingreso recurrente de cada restaurante tiene tres componentes:</t>
        </is>
      </c>
    </row>
    <row r="547">
      <c r="A547" t="inlineStr">
        <is>
          <t xml:space="preserve">  • SaaS Fee Restaurante: El restaurante paga un fee mensual por cada mesero activo en la plataforma. Este es ingreso puro, sin costo variable asociado.</t>
        </is>
      </c>
    </row>
    <row r="548">
      <c r="A548" t="inlineStr">
        <is>
          <t xml:space="preserve">  • SaaS Fee Marcas: Las marcas patrocinadoras (Coca-Cola, Bavaria, etc.) pagan un fee por acceder a los meseros de cada restaurante. A más marcas por restaurante, mayor ingreso.</t>
        </is>
      </c>
    </row>
    <row r="549">
      <c r="A549" t="inlineStr">
        <is>
          <t xml:space="preserve">  • Super Monedas: Tanto restaurantes como marcas compran Super Monedas para premiar meseros. El ingreso bruto es significativo, aunque el ingreso neto para Super Meseros es el breakage (Pes 8%/Base 10%/Opt 12%) más el margen sobre redenciones (Pes 10%/Base 15%/Opt 15%), lo que equivale a ~17-24% del bruto según escenario.</t>
        </is>
      </c>
    </row>
    <row r="551">
      <c r="A551" t="inlineStr">
        <is>
          <t>¿POR QUÉ VARÍAN TANTO LOS ESCENARIOS?</t>
        </is>
      </c>
    </row>
    <row r="552">
      <c r="A552" t="inlineStr">
        <is>
          <t xml:space="preserve">  El ingreso por restaurante se multiplica por tres factores que cambian simultáneamente entre escenarios:</t>
        </is>
      </c>
    </row>
    <row r="553">
      <c r="A553" t="inlineStr">
        <is>
          <t xml:space="preserve">  • Meseros por restaurante: En el Pesimista se asumen restaurantes más pequeños (5 meseros promedio) mientras que en el Optimista son establecimientos más grandes (10 meseros). Esto duplica la base de usuarios por restaurante.</t>
        </is>
      </c>
    </row>
    <row r="554">
      <c r="A554" t="inlineStr">
        <is>
          <t xml:space="preserve">  • Activación: Del 75% al 95% de meseros usando activamente la plataforma. Más meseros activos = más transacciones de Super Monedas y más fees recurrentes.</t>
        </is>
      </c>
    </row>
    <row r="555">
      <c r="A555" t="inlineStr">
        <is>
          <t xml:space="preserve">  • Marcas por restaurante: De 1 a 3 marcas patrocinadoras por restaurante. Cada marca adicional multiplica tanto el Entry Fee (one-time) como los fees recurrentes y las Super Monedas.</t>
        </is>
      </c>
    </row>
    <row r="556">
      <c r="A556" t="inlineStr">
        <is>
          <t xml:space="preserve">  El efecto combinado hace que el Optimista genere ~5x más ingreso por restaurante que el Pesimista.</t>
        </is>
      </c>
    </row>
    <row r="558">
      <c r="A558" t="inlineStr">
        <is>
          <t>ESCALAMIENTO: EL EFECTO MULTIPLICADOR</t>
        </is>
      </c>
    </row>
    <row r="559">
      <c r="A559" t="inlineStr">
        <is>
          <t xml:space="preserve">  La clave del modelo es que cada restaurante incorporado genera ingreso recurrente de por vida (mientras permanezca activo). Al sumar miles de restaurantes, el efecto compuesto del MRR crea una máquina de ingresos predecible y creciente — exactamente lo que los inversionistas buscan en un modelo SaaS.</t>
        </is>
      </c>
    </row>
    <row r="560">
      <c r="A560" t="inlineStr">
        <is>
          <t xml:space="preserve">  Escalamiento Base: 1 rest = $748/mes | 100 rest = $75K/mes | 1,000 rest = $748K/mes | 5,383 rest (año 5) = $4.0M/mes</t>
        </is>
      </c>
    </row>
    <row r="562">
      <c r="A562" t="inlineStr">
        <is>
          <t xml:space="preserve">  Nota sobre Super Monedas: Los montos brutos representan el volumen transaccional que pasa por la plataforma. El ingreso neto para SM es menor (~14% del bruto), pero el volumen transaccional genera engagement, retención y datos valiosos sobre el comportamiento de meseros y marcas.</t>
        </is>
      </c>
    </row>
    <row r="566">
      <c r="A566" t="inlineStr">
        <is>
          <t>La hoja 'Escenario 2 - Resumen' contiene 5 tablas dinámicas (100% fórmulas, 0 hardcodes) diseñadas para copiar y pegar en pitch deck:</t>
        </is>
      </c>
    </row>
    <row r="567">
      <c r="A567" t="inlineStr">
        <is>
          <t xml:space="preserve">  T1: Ingresos semestrales + rest activos | T2: ARR por año (3 escenarios) | T3: P&amp;L anual resumido</t>
        </is>
      </c>
    </row>
    <row r="568">
      <c r="A568" t="inlineStr">
        <is>
          <t xml:space="preserve">  T4: Crecimiento restaurantes por canal (directos, alianzas, referidos, churn) + Promedio adquisición mensual (fila 46) | T5: Unit Economics por año</t>
        </is>
      </c>
    </row>
    <row r="569">
      <c r="A569" t="inlineStr">
        <is>
          <t xml:space="preserve">  → Todas vinculadas a EF, Onboarding, CAC. Se actualizan automáticamente con escenario y alianzas.</t>
        </is>
      </c>
    </row>
    <row r="570">
      <c r="A570" t="inlineStr">
        <is>
          <t xml:space="preserve">  T6: Comparativo simultáneo de 3 escenarios (Pesimista/Base/Optimista) con 14 métricas, ratios y narrativa para inversionista. Valores precalculados (no depende del selector).</t>
        </is>
      </c>
    </row>
    <row r="571" ht="18" customHeight="1">
      <c r="A571" s="148" t="inlineStr">
        <is>
          <t>14. DECISIONES DE DISEÑO</t>
        </is>
      </c>
      <c r="B571" s="149" t="n"/>
    </row>
    <row r="573">
      <c r="A573" s="152" t="inlineStr">
        <is>
          <t>RECLASIFICACIÓN DE CS Y EM COMO COSTOS DIRECTOS</t>
        </is>
      </c>
    </row>
    <row r="574">
      <c r="A574" s="153" t="inlineStr">
        <is>
          <t xml:space="preserve">  Los Agentes de Customer Success y Engagement Managers fueron movidos de OPEX a Costos Directos porque:</t>
        </is>
      </c>
    </row>
    <row r="575">
      <c r="A575" s="153" t="inlineStr">
        <is>
          <t xml:space="preserve">  • Su cantidad escala con restaurantes activos (CS: Pes 1/50, Base 1/65, Opt 1/80 | EM: Pes 1/75, Base 1/90, Opt 1/100). Mayor escala = mayor eficiencia.</t>
        </is>
      </c>
    </row>
    <row r="576">
      <c r="A576" s="153" t="inlineStr">
        <is>
          <t xml:space="preserve">  • Son costos genuinamente variables, no fijos</t>
        </is>
      </c>
    </row>
    <row r="577">
      <c r="A577" s="153" t="inlineStr">
        <is>
          <t xml:space="preserve">  • Esto da una visión más precisa del margen bruto por restaurante</t>
        </is>
      </c>
    </row>
    <row r="579">
      <c r="A579" s="152" t="inlineStr">
        <is>
          <t>SUPER MONEDAS COMO INGRESO NETO</t>
        </is>
      </c>
    </row>
    <row r="580">
      <c r="A580" s="153" t="inlineStr">
        <is>
          <t xml:space="preserve">  El ingreso de Super Monedas se registra BRUTO y el costo de redención (80%) va a Costos Directos.</t>
        </is>
      </c>
    </row>
    <row r="581">
      <c r="A581" s="153" t="inlineStr">
        <is>
          <t xml:space="preserve">  Ingreso neto = 10% breakage (ingreso puro) + 90% × 20% margen = 28% del volumen total</t>
        </is>
      </c>
    </row>
    <row r="583">
      <c r="A583" s="152" t="inlineStr">
        <is>
          <t>STEP-UP SEMESTRAL DE OPEX</t>
        </is>
      </c>
    </row>
    <row r="584">
      <c r="A584" s="153" t="inlineStr">
        <is>
          <t xml:space="preserve">  En lugar de modelar contrataciones individuales, OPEX crece 10% cada 6 meses.</t>
        </is>
      </c>
    </row>
    <row r="585">
      <c r="A585" s="153" t="inlineStr">
        <is>
          <t xml:space="preserve">  Esto captura la realidad de startups: contrataciones en lotes cuando se alcanza un umbral.</t>
        </is>
      </c>
    </row>
    <row r="587">
      <c r="A587" s="152" t="inlineStr">
        <is>
          <t>REFERIDOS COMO MOTOR DE CRECIMIENTO ORGÁNICO</t>
        </is>
      </c>
    </row>
    <row r="588">
      <c r="A588" s="153" t="inlineStr">
        <is>
          <t xml:space="preserve">  Los referidos no tienen CAC ($0) y provienen de 2 fuentes temporales (t-1, t-2).</t>
        </is>
      </c>
    </row>
    <row r="589">
      <c r="A589" s="153" t="inlineStr">
        <is>
          <t xml:space="preserve">  Esto simula el efecto boca a boca: al inicio duplica/triplica el crecimiento orgánico.</t>
        </is>
      </c>
    </row>
    <row r="592">
      <c r="A592" t="inlineStr">
        <is>
          <t>COMISIONES COMO COSTO DE ADQUISICIÓN, NO COSTO DIRECTO (nueva v3.1)</t>
        </is>
      </c>
    </row>
    <row r="593">
      <c r="A593" t="inlineStr">
        <is>
          <t xml:space="preserve">  Las comisiones de venta se clasifican en CAC y GTM (no en Costos Directos) porque:</t>
        </is>
      </c>
    </row>
    <row r="594">
      <c r="A594" t="inlineStr">
        <is>
          <t xml:space="preserve">  • Son costos de adquirir clientes, no de operar el servicio</t>
        </is>
      </c>
    </row>
    <row r="595">
      <c r="A595" t="inlineStr">
        <is>
          <t xml:space="preserve">  • Mantener el Margen Bruto limpio de costos de adquisición permite evaluar la rentabilidad operativa</t>
        </is>
      </c>
    </row>
    <row r="596">
      <c r="A596" t="inlineStr">
        <is>
          <t xml:space="preserve">  • El CAC Blended incluye ahora: CAC directo + comisiones + publicidad + descuento referidos</t>
        </is>
      </c>
    </row>
    <row r="598">
      <c r="A598" t="inlineStr">
        <is>
          <t>PROVISIÓN ERRORES/FRAUDE COMO COSTO DIRECTO (nueva v3.1)</t>
        </is>
      </c>
    </row>
    <row r="599">
      <c r="A599" t="inlineStr">
        <is>
          <t xml:space="preserve">  La provisión (2.5% de Super Monedas) sí es un Costo Directo porque:</t>
        </is>
      </c>
    </row>
    <row r="600">
      <c r="A600" t="inlineStr">
        <is>
          <t xml:space="preserve">  • Es un costo inherente a la operación de Super Monedas (riesgo operativo)</t>
        </is>
      </c>
    </row>
    <row r="601">
      <c r="A601" t="inlineStr">
        <is>
          <t xml:space="preserve">  • Escala directamente con el volumen transaccionado</t>
        </is>
      </c>
    </row>
    <row r="602">
      <c r="A602" t="inlineStr">
        <is>
          <t xml:space="preserve">  • No está relacionado con la adquisición de clientes</t>
        </is>
      </c>
    </row>
    <row r="604">
      <c r="A604" t="inlineStr">
        <is>
          <t>PUBLICIDAD A PARTIR DEL AÑO 2 (nueva v3.1)</t>
        </is>
      </c>
    </row>
    <row r="605">
      <c r="A605" t="inlineStr">
        <is>
          <t xml:space="preserve">  El presupuesto de publicidad (5% de ingresos) inicia en mes 13 porque:</t>
        </is>
      </c>
    </row>
    <row r="606">
      <c r="A606" t="inlineStr">
        <is>
          <t xml:space="preserve">  • Año 1 se enfoca en venta directa y validación con recursos limitados</t>
        </is>
      </c>
    </row>
    <row r="607">
      <c r="A607" s="152" t="inlineStr">
        <is>
          <t>MODELO DE CASH FLOW (actualizado v3.1)</t>
        </is>
      </c>
    </row>
    <row r="608">
      <c r="A608" s="153" t="inlineStr">
        <is>
          <t xml:space="preserve">  Flujo del mes = Utilidad Neta = EBITDA − Impuestos (35% sobre EBITDA positivo)</t>
        </is>
      </c>
    </row>
    <row r="609">
      <c r="A609" s="153" t="inlineStr">
        <is>
          <t xml:space="preserve">  Caja Final = Caja Anterior + Utilidad Neta. No se modelan:</t>
        </is>
      </c>
    </row>
    <row r="610">
      <c r="A610" s="153" t="inlineStr">
        <is>
          <t xml:space="preserve">  • Depreciación / Amortización (empresa asset-light)</t>
        </is>
      </c>
    </row>
    <row r="611">
      <c r="A611" s="153" t="inlineStr">
        <is>
          <t xml:space="preserve">  • Capital de trabajo (SaaS cobra por adelantado)</t>
        </is>
      </c>
    </row>
    <row r="612">
      <c r="A612" s="153" t="inlineStr">
        <is>
          <t xml:space="preserve">  • CAPEX (plataforma ya desarrollada)</t>
        </is>
      </c>
    </row>
    <row r="614">
      <c r="A614" s="152" t="inlineStr">
        <is>
          <t>GALA ANUAL MENSUALIZADA</t>
        </is>
      </c>
    </row>
    <row r="615">
      <c r="A615" s="153" t="inlineStr">
        <is>
          <t xml:space="preserve">  Costo de $20,000/año prorrateado a $1,667/mes, con incremento de 10% anual. Evita picos estacionales.</t>
        </is>
      </c>
    </row>
    <row r="617" ht="18" customHeight="1">
      <c r="A617" s="148" t="inlineStr">
        <is>
          <t>15. FÓRMULAS CLAVE Y TRAZABILIDAD</t>
        </is>
      </c>
      <c r="B617" s="149" t="n"/>
    </row>
    <row r="619">
      <c r="A619" s="151" t="inlineStr">
        <is>
          <t>Todas las fórmulas son auditables. A continuación las más críticas con su ubicación exacta.</t>
        </is>
      </c>
    </row>
    <row r="621">
      <c r="A621" s="152" t="inlineStr">
        <is>
          <t>ONBOARDING</t>
        </is>
      </c>
    </row>
    <row r="622">
      <c r="A622" s="163" t="inlineStr">
        <is>
          <t xml:space="preserve">  Fórmula</t>
        </is>
      </c>
      <c r="B622" s="163" t="inlineStr">
        <is>
          <t xml:space="preserve">  Ubicación</t>
        </is>
      </c>
    </row>
    <row r="623">
      <c r="A623" s="162" t="inlineStr">
        <is>
          <t xml:space="preserve">  Restaurantes nuevos directos = INDEX por fase según mes</t>
        </is>
      </c>
      <c r="B623" s="162" t="inlineStr">
        <is>
          <t xml:space="preserve">  Onboarding!B6:BI6</t>
        </is>
      </c>
    </row>
    <row r="624">
      <c r="A624" s="162" t="inlineStr">
        <is>
          <t xml:space="preserve">  Referidos(t-1) = (Directos + Alianzas) × B68/2 (Sup.Gen B68=1.5, editable)</t>
        </is>
      </c>
      <c r="B624" s="162" t="inlineStr">
        <is>
          <t xml:space="preserve">  Onboarding!B7:BI7</t>
        </is>
      </c>
    </row>
    <row r="625">
      <c r="A625" s="162" t="inlineStr">
        <is>
          <t xml:space="preserve">  Referidos(t-2) = (Directos + Alianzas de 2 meses) × B68/2 (mismo multiplicador editable)</t>
        </is>
      </c>
      <c r="B625" s="162" t="inlineStr">
        <is>
          <t xml:space="preserve">  Onboarding!B8:BI8</t>
        </is>
      </c>
    </row>
    <row r="626">
      <c r="A626" s="162" t="inlineStr">
        <is>
          <t xml:space="preserve">  Restaurantes vía alianzas = SUM de 5 IF(toggle AND mes&gt;=activación)</t>
        </is>
      </c>
      <c r="B626" s="162" t="inlineStr">
        <is>
          <t xml:space="preserve">  Onboarding!B9:BI9</t>
        </is>
      </c>
    </row>
    <row r="627">
      <c r="A627" s="162" t="inlineStr">
        <is>
          <t xml:space="preserve">  Total nuevos = Directos + Ref(t-1) + Ref(t-2) + Alianzas</t>
        </is>
      </c>
      <c r="B627" s="162" t="inlineStr">
        <is>
          <t xml:space="preserve">  Onboarding!B10:BI10</t>
        </is>
      </c>
    </row>
    <row r="628">
      <c r="A628" s="162" t="inlineStr">
        <is>
          <t xml:space="preserve">  Churn = Acumulado anterior × churn%  |  Activos = Anterior + Nuevos − Churn</t>
        </is>
      </c>
      <c r="B628" s="162" t="inlineStr">
        <is>
          <t xml:space="preserve">  Onboarding!B11:BI11 / B12:BI12</t>
        </is>
      </c>
    </row>
    <row r="630">
      <c r="A630" s="152" t="inlineStr">
        <is>
          <t>INGRESOS</t>
        </is>
      </c>
    </row>
    <row r="631">
      <c r="A631" s="162" t="inlineStr">
        <is>
          <t xml:space="preserve">  SaaS Rest = Meseros activos × ARPU rest</t>
        </is>
      </c>
      <c r="B631" s="162" t="inlineStr">
        <is>
          <t xml:space="preserve">  Ingresos!B10:BI10</t>
        </is>
      </c>
    </row>
    <row r="632">
      <c r="A632" s="162" t="inlineStr">
        <is>
          <t xml:space="preserve">  SaaS Marcas = Meseros activos × ARPU marcas × marcas/rest</t>
        </is>
      </c>
      <c r="B632" s="162" t="inlineStr">
        <is>
          <t xml:space="preserve">  Ingresos!B11:BI11</t>
        </is>
      </c>
    </row>
    <row r="633">
      <c r="A633" s="162" t="inlineStr">
        <is>
          <t xml:space="preserve">  Super Monedas Rest = Meseros activos × $80 × 28%</t>
        </is>
      </c>
      <c r="B633" s="162" t="inlineStr">
        <is>
          <t xml:space="preserve">  Ingresos!B12:BI12</t>
        </is>
      </c>
    </row>
    <row r="634">
      <c r="A634" s="162" t="inlineStr">
        <is>
          <t xml:space="preserve">  Super Monedas Marcas = Meseros × $15 × marcas × 28%</t>
        </is>
      </c>
      <c r="B634" s="162" t="inlineStr">
        <is>
          <t xml:space="preserve">  Ingresos!B13:BI13</t>
        </is>
      </c>
    </row>
    <row r="636">
      <c r="A636" s="152" t="inlineStr">
        <is>
          <t>COSTOS DIRECTOS</t>
        </is>
      </c>
    </row>
    <row r="637">
      <c r="A637" s="162" t="inlineStr">
        <is>
          <t xml:space="preserve">  Redención SM = Total SM bruto × 80% × 95%</t>
        </is>
      </c>
      <c r="B637" s="162" t="inlineStr">
        <is>
          <t xml:space="preserve">  Costos Directos!B7:BI7</t>
        </is>
      </c>
    </row>
    <row r="638">
      <c r="A638" s="162" t="inlineStr">
        <is>
          <t xml:space="preserve">  Agentes CS = ROUNDUP(Rest activos / 30) × $1,000</t>
        </is>
      </c>
      <c r="B638" s="162" t="inlineStr">
        <is>
          <t xml:space="preserve">  Costos Directos!B15:BI15</t>
        </is>
      </c>
    </row>
    <row r="639">
      <c r="A639" s="162" t="inlineStr">
        <is>
          <t xml:space="preserve">  EMs = ROUNDUP(Rest activos / 50) × $1,750 (salario $1,000 + viáticos $750)</t>
        </is>
      </c>
      <c r="B639" s="162" t="inlineStr">
        <is>
          <t xml:space="preserve">  Costos Directos!B13:BI13</t>
        </is>
      </c>
    </row>
    <row r="640">
      <c r="A640" s="162" t="inlineStr">
        <is>
          <t xml:space="preserve">  Provisión errores = (SM Rest bruto + SM Marcas bruto) × 1.5%</t>
        </is>
      </c>
      <c r="B640" s="162" t="inlineStr">
        <is>
          <t xml:space="preserve">  Costos Directos!B30:BI30</t>
        </is>
      </c>
    </row>
    <row r="641">
      <c r="A641" s="162" t="inlineStr">
        <is>
          <t xml:space="preserve">  Provisión fraude = (SM Rest bruto + SM Marcas bruto) × 1.0%</t>
        </is>
      </c>
      <c r="B641" s="162" t="inlineStr">
        <is>
          <t xml:space="preserve">  Costos Directos!B31:BI31</t>
        </is>
      </c>
    </row>
    <row r="642">
      <c r="A642" s="162" t="n"/>
      <c r="B642" s="162" t="n"/>
    </row>
    <row r="643">
      <c r="A643" s="162" t="inlineStr">
        <is>
          <t>CAC Y GTM (actualizado v3.3)</t>
        </is>
      </c>
      <c r="B643" s="162" t="n"/>
    </row>
    <row r="644">
      <c r="A644" s="162" t="inlineStr">
        <is>
          <t xml:space="preserve">  CAC directo = Rest nuevos directos × $100/rest</t>
        </is>
      </c>
      <c r="B644" s="162" t="inlineStr">
        <is>
          <t xml:space="preserve">  CAC y GTM!B8:BI8</t>
        </is>
      </c>
    </row>
    <row r="645">
      <c r="A645" s="162" t="inlineStr">
        <is>
          <t xml:space="preserve">  CAC alianzas = Rest nuevos vía alianzas × $60/rest (Palancas!B7)</t>
        </is>
      </c>
      <c r="B645" s="162" t="inlineStr">
        <is>
          <t xml:space="preserve">  CAC y GTM!B12:BI12</t>
        </is>
      </c>
    </row>
    <row r="646">
      <c r="A646" s="162" t="inlineStr">
        <is>
          <t xml:space="preserve">  Comisiones SetUp/Fees = Rest nuevos directos × mix canal × tasa comisión (solo directos, NO alianzas)</t>
        </is>
      </c>
      <c r="B646" s="162" t="inlineStr">
        <is>
          <t xml:space="preserve">  CAC y GTM!B15:BI22</t>
        </is>
      </c>
    </row>
    <row r="647">
      <c r="A647" s="162" t="inlineStr">
        <is>
          <t xml:space="preserve">  Publicidad = IF(mes &gt;= 13, Ingresos totales × 5%, 0)</t>
        </is>
      </c>
      <c r="B647" s="162" t="inlineStr">
        <is>
          <t xml:space="preserve">  CAC y GTM!B27:BI27</t>
        </is>
      </c>
    </row>
    <row r="648">
      <c r="A648" s="162" t="inlineStr">
        <is>
          <t xml:space="preserve">  CAC Blended = (CAC directo + CAC alianzas + Comisiones + Publicidad) / Total rest nuevos</t>
        </is>
      </c>
      <c r="B648" s="162" t="inlineStr">
        <is>
          <t xml:space="preserve">  CAC y GTM!B30:BI30</t>
        </is>
      </c>
    </row>
    <row r="649">
      <c r="A649" s="162" t="n"/>
      <c r="B649" s="162" t="n"/>
    </row>
    <row r="650">
      <c r="A650" s="162" t="inlineStr">
        <is>
          <t>IMPUESTOS (nueva v3.1)</t>
        </is>
      </c>
      <c r="B650" s="162" t="n"/>
    </row>
    <row r="651">
      <c r="A651" s="162" t="inlineStr">
        <is>
          <t xml:space="preserve">  Impuestos = MAX(0, EBITDA) × 35%</t>
        </is>
      </c>
      <c r="B651" s="162" t="inlineStr">
        <is>
          <t xml:space="preserve">  EE.FF.!B24:BI24</t>
        </is>
      </c>
    </row>
    <row r="652">
      <c r="A652" s="162" t="inlineStr">
        <is>
          <t xml:space="preserve">  Utilidad Neta = EBITDA − Impuestos</t>
        </is>
      </c>
      <c r="B652" s="162" t="inlineStr">
        <is>
          <t xml:space="preserve">  EE.FF.!B25:BI25</t>
        </is>
      </c>
    </row>
    <row r="653">
      <c r="A653" s="162" t="n"/>
      <c r="B653" s="162" t="n"/>
    </row>
    <row r="655">
      <c r="A655" s="152" t="inlineStr">
        <is>
          <t>OPEX (con step-ups condicionales)</t>
        </is>
      </c>
    </row>
    <row r="656">
      <c r="A656" s="162" t="inlineStr">
        <is>
          <t xml:space="preserve">  OPEX mes = Base × Factor escala × (1+10%)^(step-ups condicionales)</t>
        </is>
      </c>
      <c r="B656" s="162" t="inlineStr">
        <is>
          <t xml:space="preserve">  OPEX!B6:BI12 (7 líneas) + B13 (Gerente) + B14 (Licencia)</t>
        </is>
      </c>
    </row>
    <row r="657">
      <c r="A657" s="162" t="inlineStr">
        <is>
          <t xml:space="preserve">  Step-ups incrementan solo si EBITDA del semestre anterior &gt; 0</t>
        </is>
      </c>
      <c r="B657" s="162" t="inlineStr">
        <is>
          <t xml:space="preserve">  OPEX!B20 (step-ups condicionales) / B19 (periodo semestral)</t>
        </is>
      </c>
    </row>
    <row r="659">
      <c r="A659" s="152" t="inlineStr">
        <is>
          <t>ESTADOS FINANCIEROS</t>
        </is>
      </c>
    </row>
    <row r="660">
      <c r="A660" s="162" t="inlineStr">
        <is>
          <t xml:space="preserve">  Total Ingresos = Ingresos!Total Ingresos</t>
        </is>
      </c>
      <c r="B660" s="162" t="inlineStr">
        <is>
          <t xml:space="preserve">  EE.FF.!B8:BI8</t>
        </is>
      </c>
    </row>
    <row r="661">
      <c r="A661" s="162" t="inlineStr">
        <is>
          <t xml:space="preserve">  Utilidad Bruta = Ingresos − Costos Directos (incl. errores/fraude)</t>
        </is>
      </c>
      <c r="B661" s="162" t="inlineStr">
        <is>
          <t xml:space="preserve">  EE.FF.!B13:BI13</t>
        </is>
      </c>
    </row>
    <row r="662">
      <c r="A662" s="162" t="inlineStr">
        <is>
          <t xml:space="preserve">  EBITDA = Ut. Bruta después de CAC − OPEX</t>
        </is>
      </c>
      <c r="B662" s="162" t="inlineStr">
        <is>
          <t xml:space="preserve">  EE.FF.!B22:BI22</t>
        </is>
      </c>
    </row>
    <row r="663">
      <c r="A663" s="162" t="inlineStr">
        <is>
          <t xml:space="preserve">  Caja Final = Caja Anterior + Utilidad Neta</t>
        </is>
      </c>
      <c r="B663" s="162" t="inlineStr">
        <is>
          <t xml:space="preserve">  EE.FF.!B31:BI31</t>
        </is>
      </c>
    </row>
    <row r="665">
      <c r="A665" s="152" t="inlineStr">
        <is>
          <t>ESCENARIOS</t>
        </is>
      </c>
    </row>
    <row r="666">
      <c r="A666" s="162" t="inlineStr">
        <is>
          <t xml:space="preserve">  Selector: Escenarios!B4 (1/2/3)</t>
        </is>
      </c>
      <c r="B666" s="162" t="inlineStr">
        <is>
          <t xml:space="preserve">  Controla INDEX en Supuestos</t>
        </is>
      </c>
    </row>
    <row r="667">
      <c r="A667" s="162" t="inlineStr">
        <is>
          <t xml:space="preserve">  Parámetros → INDEX(tabla, fila, Escenarios!$B$4)</t>
        </is>
      </c>
      <c r="B667" s="162" t="inlineStr">
        <is>
          <t xml:space="preserve">  Supuestos B12:B74</t>
        </is>
      </c>
    </row>
    <row r="668">
      <c r="A668" s="162" t="inlineStr">
        <is>
          <t xml:space="preserve">  Resultados = referencias directas a EE.FF. TOTAL</t>
        </is>
      </c>
      <c r="B668" s="162" t="inlineStr">
        <is>
          <t xml:space="preserve">  Escenarios!B30:B39</t>
        </is>
      </c>
    </row>
    <row r="670">
      <c r="A670" s="160" t="inlineStr">
        <is>
          <t xml:space="preserve">  → Toda la cadena es auditable: Escenarios → Supuestos → Onboarding → Ingresos/Costos → EE.FF.</t>
        </is>
      </c>
    </row>
    <row r="673" ht="18" customHeight="1">
      <c r="A673" s="148" t="inlineStr">
        <is>
          <t>16. SUPUESTOS Y LIMITACIONES</t>
        </is>
      </c>
      <c r="B673" s="149" t="n"/>
    </row>
    <row r="675">
      <c r="A675" s="152" t="inlineStr">
        <is>
          <t>SUPUESTOS IMPLÍCITOS</t>
        </is>
      </c>
    </row>
    <row r="676">
      <c r="A676" s="153" t="inlineStr">
        <is>
          <t xml:space="preserve">  • Todos los restaurantes pagan desde el Mes 1 de incorporación (sin periodo de prueba gratuito)</t>
        </is>
      </c>
    </row>
    <row r="677">
      <c r="A677" s="153" t="inlineStr">
        <is>
          <t xml:space="preserve">  • Las marcas se incorporan inmediatamente y pagan desde el primer mes</t>
        </is>
      </c>
    </row>
    <row r="678">
      <c r="A678" s="153" t="inlineStr">
        <is>
          <t xml:space="preserve">  • El churn es uniforme (no varía por antigüedad del restaurante)</t>
        </is>
      </c>
    </row>
    <row r="679">
      <c r="A679" s="153" t="inlineStr">
        <is>
          <t xml:space="preserve">  • No hay estacionalidad en onboarding ni en ingresos</t>
        </is>
      </c>
    </row>
    <row r="680">
      <c r="A680" s="153" t="inlineStr">
        <is>
          <t xml:space="preserve">  • Los costos de Super Monedas se pagan en el mismo mes que se generan</t>
        </is>
      </c>
    </row>
    <row r="681">
      <c r="A681" s="153" t="inlineStr">
        <is>
          <t xml:space="preserve">  • No hay deuda ni financiamiento externo más allá de los $500K iniciales</t>
        </is>
      </c>
    </row>
    <row r="682">
      <c r="A682" s="153" t="inlineStr">
        <is>
          <t xml:space="preserve">  • Las tasas de comisión por canal son fijas (no varían por escenario ni por volumen)</t>
        </is>
      </c>
    </row>
    <row r="683">
      <c r="A683" s="159" t="inlineStr">
        <is>
          <t xml:space="preserve">  • La provisión de errores/fraude (2.5%) es constante — no mejora con madurez tecnológica</t>
        </is>
      </c>
    </row>
    <row r="684">
      <c r="A684" s="153" t="inlineStr">
        <is>
          <t xml:space="preserve">  • El presupuesto de publicidad (5%) es proporcional a ingresos — no tiene techo ni piso</t>
        </is>
      </c>
    </row>
    <row r="685">
      <c r="A685" s="153" t="n"/>
    </row>
    <row r="686">
      <c r="A686" s="153" t="inlineStr">
        <is>
          <t>LO QUE NO INCLUYE EL MODELO</t>
        </is>
      </c>
    </row>
    <row r="687">
      <c r="A687" s="153" t="inlineStr">
        <is>
          <t xml:space="preserve">  • Depreciación y amortización (empresa asset-light)</t>
        </is>
      </c>
    </row>
    <row r="688">
      <c r="A688" s="153" t="inlineStr">
        <is>
          <t xml:space="preserve">  • Capital de trabajo / cuentas por cobrar</t>
        </is>
      </c>
    </row>
    <row r="689">
      <c r="A689" s="153" t="inlineStr">
        <is>
          <t xml:space="preserve">  • CAPEX (inversión en activos fijos)</t>
        </is>
      </c>
    </row>
    <row r="690">
      <c r="A690" s="153" t="inlineStr">
        <is>
          <t xml:space="preserve">  • Financiamiento adicional (rondas Serie A, B, etc.)</t>
        </is>
      </c>
    </row>
    <row r="691">
      <c r="A691" s="153" t="inlineStr">
        <is>
          <t xml:space="preserve">  • Expansión geográfica (costos de entrada a nuevos mercados)</t>
        </is>
      </c>
    </row>
    <row r="692">
      <c r="A692" s="153" t="inlineStr">
        <is>
          <t xml:space="preserve">  • Efectos de tipo de cambio (todo en USD)</t>
        </is>
      </c>
    </row>
    <row r="693">
      <c r="A693" s="153" t="inlineStr">
        <is>
          <t xml:space="preserve">  • Competencia o presión de precios</t>
        </is>
      </c>
    </row>
    <row r="695">
      <c r="A695" s="159" t="inlineStr">
        <is>
          <t>RIESGOS NO MODELADOS</t>
        </is>
      </c>
    </row>
    <row r="696">
      <c r="A696" s="153" t="inlineStr">
        <is>
          <t xml:space="preserve">  • Riesgo regulatorio (clasificación laboral de meseros)</t>
        </is>
      </c>
    </row>
    <row r="697">
      <c r="A697" s="153" t="inlineStr">
        <is>
          <t xml:space="preserve">  • Concentración de ingresos en Super Monedas (69% del total)</t>
        </is>
      </c>
    </row>
    <row r="698">
      <c r="A698" s="153" t="inlineStr">
        <is>
          <t xml:space="preserve">  • Dependencia de convenios para escalar (Fases 3-5)</t>
        </is>
      </c>
    </row>
    <row r="699">
      <c r="A699" s="153" t="inlineStr">
        <is>
          <t xml:space="preserve">  • Retención de meseros (churn del 3% mensual puede ser optimista en LATAM)</t>
        </is>
      </c>
    </row>
    <row r="701" ht="18" customHeight="1">
      <c r="A701" s="148" t="inlineStr">
        <is>
          <t>17. GUÍA DE USO</t>
        </is>
      </c>
      <c r="B701" s="149" t="n"/>
    </row>
    <row r="703">
      <c r="A703" s="152" t="inlineStr">
        <is>
          <t>CÓMO CAMBIAR ESCENARIOS</t>
        </is>
      </c>
    </row>
    <row r="704">
      <c r="A704" s="153" t="inlineStr">
        <is>
          <t xml:space="preserve">  1. Ir a cualquier hoja con panel de escenario (Dashboard, EF, Palancas, Esc2 Resumen, Valoración, Unit Economics) y hacer clic en '✏️ Cambiar →', o ir directamente a Escenarios!B4</t>
        </is>
      </c>
    </row>
    <row r="705">
      <c r="A705" s="154" t="inlineStr">
        <is>
          <t xml:space="preserve">  2. Cambiar celda B4: 1 = Pesimista, 2 = Base, 3 = Optimista. Existe un named range 'EscenarioActivo' vinculado a B4 para referencia en fórmulas.</t>
        </is>
      </c>
    </row>
    <row r="706">
      <c r="A706" s="153" t="inlineStr">
        <is>
          <t xml:space="preserve">  3. Todo el modelo se recalcula automáticamente</t>
        </is>
      </c>
    </row>
    <row r="707">
      <c r="A707" s="153" t="inlineStr">
        <is>
          <t xml:space="preserve">  4. Verificar resultados en Escenarios!B30:B39</t>
        </is>
      </c>
    </row>
    <row r="709">
      <c r="A709" s="152" t="inlineStr">
        <is>
          <t>CÓMO MODIFICAR PARÁMETROS INDIVIDUALES</t>
        </is>
      </c>
    </row>
    <row r="710">
      <c r="A710" s="153" t="inlineStr">
        <is>
          <t xml:space="preserve">  1. Ir a "Supuestos Generales"</t>
        </is>
      </c>
    </row>
    <row r="711">
      <c r="A711" s="153" t="inlineStr">
        <is>
          <t xml:space="preserve">  2. Modificar cualquier celda en columna B (valores en azul son inputs)</t>
        </is>
      </c>
    </row>
    <row r="712">
      <c r="A712" s="153" t="inlineStr">
        <is>
          <t xml:space="preserve">  3. Las hojas dependientes se actualizan instantáneamente</t>
        </is>
      </c>
    </row>
    <row r="713">
      <c r="A713" s="157" t="inlineStr">
        <is>
          <t xml:space="preserve">  Nota: Los cambios manuales se sobrescribirán al cambiar el escenario.</t>
        </is>
      </c>
    </row>
    <row r="715">
      <c r="A715" s="152" t="inlineStr">
        <is>
          <t>CÓMO LEER LAS TABLAS DE SENSIBILIDAD</t>
        </is>
      </c>
    </row>
    <row r="716">
      <c r="A716" s="153" t="inlineStr">
        <is>
          <t xml:space="preserve">  • La celda amarilla indica el caso base (parámetros actuales)</t>
        </is>
      </c>
    </row>
    <row r="717">
      <c r="A717" s="153" t="inlineStr">
        <is>
          <t xml:space="preserve">  • Leer horizontalmente para ver el efecto de cambiar un parámetro</t>
        </is>
      </c>
    </row>
    <row r="718">
      <c r="A718" s="153" t="inlineStr">
        <is>
          <t xml:space="preserve">  • Leer verticalmente para ver el efecto del otro parámetro</t>
        </is>
      </c>
    </row>
    <row r="719">
      <c r="A719" s="153" t="inlineStr">
        <is>
          <t xml:space="preserve">  • Las esquinas muestran los extremos (mejor/peor caso combinado)</t>
        </is>
      </c>
    </row>
    <row r="721">
      <c r="A721" s="152" t="inlineStr">
        <is>
          <t>NAVEGACIÓN DEL MODELO</t>
        </is>
      </c>
    </row>
    <row r="722">
      <c r="A722" s="153" t="inlineStr">
        <is>
          <t xml:space="preserve">  Flujo lógico: Supuestos → Onboarding → Ingresos + Costos + CAC + OPEX → Estados Financieros → Escenarios. Las pestañas están organizadas en 3 bloques con colores: Ejecutivo (azul: Dashboard, Unit Economics, Esc2 Resumen, Documentación), Modelo (verde: Escenarios→EF), Referencia (gris: Anexos, Claude Log).</t>
        </is>
      </c>
    </row>
    <row r="723">
      <c r="A723" s="153" t="inlineStr">
        <is>
          <t xml:space="preserve">  Cada hoja se lee de izquierda a derecha (Mes 1 a 60). La columna BJ contiene los TOTALES.</t>
        </is>
      </c>
    </row>
    <row r="724">
      <c r="A724" s="153" t="inlineStr">
        <is>
          <t xml:space="preserve">  Las fórmulas usan referencias cruzadas entre hojas — verificar con Ctrl+[ para rastrear precedentes.</t>
        </is>
      </c>
    </row>
    <row r="726" ht="18" customHeight="1">
      <c r="A726" s="148" t="inlineStr">
        <is>
          <t>18. GLOSARIO</t>
        </is>
      </c>
      <c r="B726" s="149" t="n"/>
    </row>
    <row r="728">
      <c r="A728" s="164" t="inlineStr">
        <is>
          <t xml:space="preserve">  Término</t>
        </is>
      </c>
      <c r="B728" s="164" t="inlineStr">
        <is>
          <t xml:space="preserve">  Definición</t>
        </is>
      </c>
    </row>
    <row r="729">
      <c r="A729" s="166" t="inlineStr">
        <is>
          <t xml:space="preserve">  ARPU</t>
        </is>
      </c>
      <c r="B729" s="165" t="inlineStr">
        <is>
          <t xml:space="preserve">  Average Revenue Per User — ingreso promedio por usuario (mesero)</t>
        </is>
      </c>
    </row>
    <row r="730">
      <c r="A730" s="166" t="inlineStr">
        <is>
          <t xml:space="preserve">  CAC</t>
        </is>
      </c>
      <c r="B730" s="165" t="inlineStr">
        <is>
          <t xml:space="preserve">  Customer Acquisition Cost — costo de adquirir un restaurante</t>
        </is>
      </c>
    </row>
    <row r="731">
      <c r="A731" s="166" t="inlineStr">
        <is>
          <t xml:space="preserve">  LTV</t>
        </is>
      </c>
      <c r="B731" s="165" t="inlineStr">
        <is>
          <t xml:space="preserve">  Lifetime Value — valor total que genera un restaurante en 12 meses</t>
        </is>
      </c>
    </row>
    <row r="732">
      <c r="A732" s="166" t="inlineStr">
        <is>
          <t xml:space="preserve">  Churn</t>
        </is>
      </c>
      <c r="B732" s="165" t="inlineStr">
        <is>
          <t xml:space="preserve">  Tasa de deserción mensual de restaurantes o meseros</t>
        </is>
      </c>
    </row>
    <row r="733">
      <c r="A733" s="166" t="inlineStr">
        <is>
          <t xml:space="preserve">  EBITDA</t>
        </is>
      </c>
      <c r="B733" s="165" t="inlineStr">
        <is>
          <t xml:space="preserve">  Earnings Before Interest, Taxes, Depreciation &amp; Amortization</t>
        </is>
      </c>
    </row>
    <row r="734">
      <c r="A734" s="166" t="inlineStr">
        <is>
          <t xml:space="preserve">  Super Monedas</t>
        </is>
      </c>
      <c r="B734" s="165" t="inlineStr">
        <is>
          <t xml:space="preserve">  Moneda virtual que restaurantes/marcas compran para premiar meseros</t>
        </is>
      </c>
    </row>
    <row r="735">
      <c r="A735" s="166" t="inlineStr">
        <is>
          <t xml:space="preserve">  Breakage</t>
        </is>
      </c>
      <c r="B735" s="165" t="inlineStr">
        <is>
          <t xml:space="preserve">  Super Monedas que vencen sin ser redimidas (= ingreso puro)</t>
        </is>
      </c>
    </row>
    <row r="736">
      <c r="A736" s="166" t="inlineStr">
        <is>
          <t xml:space="preserve">  One-Off</t>
        </is>
      </c>
      <c r="B736" s="165" t="inlineStr">
        <is>
          <t xml:space="preserve">  Ingreso transaccional cobrado una sola vez (SetUp Fee, Entry Fee)</t>
        </is>
      </c>
    </row>
    <row r="737">
      <c r="A737" s="166" t="inlineStr">
        <is>
          <t xml:space="preserve">  SaaS Fee</t>
        </is>
      </c>
      <c r="B737" s="165" t="inlineStr">
        <is>
          <t xml:space="preserve">  Cuota mensual recurrente por uso de la plataforma</t>
        </is>
      </c>
    </row>
    <row r="738">
      <c r="A738" s="166" t="inlineStr">
        <is>
          <t xml:space="preserve">  CS</t>
        </is>
      </c>
      <c r="B738" s="165" t="inlineStr">
        <is>
          <t xml:space="preserve">  Customer Success — agentes que dan soporte a restaurantes (1 por 30 rest)</t>
        </is>
      </c>
    </row>
    <row r="739">
      <c r="A739" s="166" t="inlineStr">
        <is>
          <t xml:space="preserve">  EM</t>
        </is>
      </c>
      <c r="B739" s="165" t="inlineStr">
        <is>
          <t xml:space="preserve">  Engagement Manager — personal presencial que activa meseros (1 por 50 rest)</t>
        </is>
      </c>
    </row>
    <row r="740">
      <c r="A740" s="166" t="inlineStr">
        <is>
          <t xml:space="preserve">  GTM</t>
        </is>
      </c>
      <c r="B740" s="165" t="inlineStr">
        <is>
          <t xml:space="preserve">  Go-to-Market — estrategia de adquisición y comercialización</t>
        </is>
      </c>
    </row>
    <row r="741">
      <c r="A741" s="166" t="inlineStr">
        <is>
          <t xml:space="preserve">  Step-up</t>
        </is>
      </c>
      <c r="B741" s="165" t="inlineStr">
        <is>
          <t xml:space="preserve">  Incremento periódico de OPEX (10% cada 6 meses)</t>
        </is>
      </c>
    </row>
    <row r="742">
      <c r="A742" s="166" t="inlineStr">
        <is>
          <t xml:space="preserve">  Runway</t>
        </is>
      </c>
      <c r="B742" s="165" t="inlineStr">
        <is>
          <t xml:space="preserve">  Meses de operación que la caja actual puede financiar</t>
        </is>
      </c>
    </row>
    <row r="743">
      <c r="A743" s="166" t="inlineStr">
        <is>
          <t xml:space="preserve">  Blended CAC</t>
        </is>
      </c>
      <c r="B743" s="165" t="inlineStr">
        <is>
          <t xml:space="preserve">  CAC promedio ponderado incluyendo referidos ($0) y directos</t>
        </is>
      </c>
    </row>
    <row r="744">
      <c r="A744" s="182" t="inlineStr">
        <is>
          <t xml:space="preserve">  B2B2C</t>
        </is>
      </c>
      <c r="B744" s="169" t="inlineStr">
        <is>
          <t xml:space="preserve">  Business-to-Business-to-Consumer — modelo donde la plataforma sirve a negocios que a su vez sirven consumidores</t>
        </is>
      </c>
    </row>
    <row r="746" ht="18" customHeight="1">
      <c r="A746" s="148" t="inlineStr">
        <is>
          <t>19. POLÍTICA DE GESTIÓN DE COSTOS Y GASTOS SEGÚN EVOLUCIÓN DE INGRESOS</t>
        </is>
      </c>
    </row>
    <row r="748">
      <c r="A748" s="60" t="inlineStr">
        <is>
          <t>Super Meseros opera con una política de disciplina financiera que vincula el crecimiento de sus costos y gastos directamente a la evolución real de los ingresos. Esta política garantiza que, incluso en un escenario conservador, la operación alcance rentabilidad dentro de los primeros 24 meses y cierre el horizonte de 5 años con resultado positivo.</t>
        </is>
      </c>
    </row>
    <row r="750">
      <c r="A750" s="307" t="inlineStr">
        <is>
          <t>Principio rector: la empresa no gasta para crecer; crece para poder gastar.</t>
        </is>
      </c>
    </row>
    <row r="752">
      <c r="A752" s="305" t="inlineStr">
        <is>
          <t>MECANISMOS DE CONTROL</t>
        </is>
      </c>
    </row>
    <row r="754">
      <c r="A754" s="306" t="inlineStr">
        <is>
          <t>1. OPEX escalonado y condicional</t>
        </is>
      </c>
    </row>
    <row r="755">
      <c r="A755" s="60" t="inlineStr">
        <is>
          <t xml:space="preserve">  Los costos fijos del equipo (producto, analítica, operaciones, ventas, administración, marketing) parten de un nivel base proporcional al escenario — un 46% del nivel completo en el caso conservador. Estos costos solo se incrementan semestralmente si y solo si el EBITDA del semestre anterior fue positivo.</t>
        </is>
      </c>
    </row>
    <row r="756">
      <c r="A756" s="60" t="inlineStr">
        <is>
          <t xml:space="preserve">  Esto significa que en un escenario de menor tracción, el equipo opera lean hasta que la operación demuestre capacidad de autofinanciarse. En el escenario base, este mecanismo genera un ahorro adicional en los primeros meses y acelera el punto de equilibrio.</t>
        </is>
      </c>
    </row>
    <row r="757">
      <c r="A757" s="315" t="inlineStr">
        <is>
          <t xml:space="preserve">  → Referencia técnica: hoja OPEX, fila 20 (step-ups condicionales). Hoja Escenarios, fila 23 (factor escala OPEX).</t>
        </is>
      </c>
    </row>
    <row r="759">
      <c r="A759" s="306" t="inlineStr">
        <is>
          <t>2. Equipo de campo proporcional al volumen</t>
        </is>
      </c>
    </row>
    <row r="760">
      <c r="A760" s="60" t="inlineStr">
        <is>
          <t xml:space="preserve">  Los Engagement Managers (presencia presencial en restaurantes) y los Agentes de Customer Success se dimensionan con ratios de eficiencia que varían según el escenario. A mayor escala y madurez operativa, cada agente atiende más restaurantes:</t>
        </is>
      </c>
    </row>
    <row r="762">
      <c r="A762" s="60" t="inlineStr">
        <is>
          <t xml:space="preserve">    Escenario Pesimista: 1 EM por cada 75 restaurantes  |  1 Agente CS por cada 50 restaurantes</t>
        </is>
      </c>
    </row>
    <row r="763">
      <c r="A763" s="60" t="inlineStr">
        <is>
          <t xml:space="preserve">    Escenario Base:       1 EM por cada 90 restaurantes  |  1 Agente CS por cada 65 restaurantes</t>
        </is>
      </c>
    </row>
    <row r="764">
      <c r="A764" s="60" t="inlineStr">
        <is>
          <t xml:space="preserve">    Escenario Optimista:  1 EM por cada 100 restaurantes  |  1 Agente CS por cada 80 restaurantes</t>
        </is>
      </c>
    </row>
    <row r="766">
      <c r="A766" s="60" t="inlineStr">
        <is>
          <t xml:space="preserve">  Esto refleja una operación más digital y menos presencial cuando el volumen no justifica cobertura intensiva. A medida que el negocio escala, se invierte en mayor cercanía al cliente.</t>
        </is>
      </c>
    </row>
    <row r="767">
      <c r="A767" s="315" t="inlineStr">
        <is>
          <t xml:space="preserve">  → Referencia técnica: hoja Escenarios, filas 26–27. Supuestos Generales, celdas B59 y B50.</t>
        </is>
      </c>
    </row>
    <row r="769">
      <c r="A769" s="306" t="inlineStr">
        <is>
          <t>3. Gerencia General con compensación variable</t>
        </is>
      </c>
    </row>
    <row r="770">
      <c r="A770" s="60" t="inlineStr">
        <is>
          <t xml:space="preserve">  El salario del Gerente General arranca en $3,000/mes y solo aumenta cuando la base de restaurantes crece — $1,000 adicionales por cada 100 nuevos restaurantes activos, con un tope de $15,000/mes. Este esquema alinea la compensación de la gerencia directamente con el crecimiento real del negocio.</t>
        </is>
      </c>
    </row>
    <row r="771">
      <c r="A771" s="315" t="inlineStr">
        <is>
          <t xml:space="preserve">  → Referencia técnica: hoja OPEX, fila 13. Fórmula: =MIN(15000, 3000 + MAX(0, FLOOR(restaurantes/100, 1)) × 1000).</t>
        </is>
      </c>
    </row>
    <row r="773">
      <c r="A773" s="306" t="inlineStr">
        <is>
          <t>4. Licencia de plataforma como costo fijo controlado</t>
        </is>
      </c>
    </row>
    <row r="774">
      <c r="A774" s="60" t="inlineStr">
        <is>
          <t xml:space="preserve">  La licencia mensual de Superlikers ($5,000/mes) es el único costo fijo que no varía por escenario ni por volumen. Es un compromiso contractual con el dueño de la tecnología base y se absorbe como parte del piso operativo mínimo.</t>
        </is>
      </c>
    </row>
    <row r="775">
      <c r="A775" s="315" t="inlineStr">
        <is>
          <t xml:space="preserve">  → Referencia técnica: hoja OPEX, fila 14. Supuestos Generales, celda B103.</t>
        </is>
      </c>
    </row>
    <row r="777">
      <c r="A777" s="305" t="inlineStr">
        <is>
          <t>RESULTADO EN ESCENARIO PESIMISTA</t>
        </is>
      </c>
    </row>
    <row r="779">
      <c r="A779" s="60" t="inlineStr">
        <is>
          <t xml:space="preserve">  Con esta política y las palancas vinculadas al escenario + ramp-up lineal (24 meses) + B68=2 + margen SM 10% + CC encendida + 75 rest/EM + 50 rest/CS, el pesimista opera con 2 alianzas (CC + ACODRES a 15 rest/mes máx) y cierra con EBITDA acumulado de +$2.9K (break-even), utilidad neta de -$95K y caja final de $405K con 2,665 restaurantes activos. Los 3 escenarios son rentables en v3.9.</t>
        </is>
      </c>
    </row>
    <row r="781">
      <c r="A781" s="306" t="inlineStr">
        <is>
          <t xml:space="preserve">  El mensaje para el inversionista es claro: la estructura de costos está diseñada para proteger el capital en el peor caso y maximizar el retorno en el mejor.</t>
        </is>
      </c>
    </row>
    <row r="783">
      <c r="A783" s="315" t="inlineStr">
        <is>
          <t>→ Para el detalle técnico completo de fórmulas, lógica de construcción y decisiones del usuario, ver la hoja 'Anexos Documentación'.</t>
        </is>
      </c>
    </row>
    <row r="785" ht="19" customHeight="1">
      <c r="A785" s="314" t="inlineStr">
        <is>
          <t>NOTA LEGAL</t>
        </is>
      </c>
    </row>
    <row r="786">
      <c r="A786" s="60" t="inlineStr">
        <is>
          <t>Este modelo financiero es una herramienta de proyección basada en supuestos. Los resultados reales pueden variar significativamente. No constituye asesoría financiera, legal ni fiscal. Consulte con profesionales antes de tomar decisiones de inversión.</t>
        </is>
      </c>
    </row>
    <row r="789">
      <c r="A789" s="66" t="inlineStr">
        <is>
          <t>Documento generado automáticamente  |  Super Meseros © 2026  |  Modelo v3.9</t>
        </is>
      </c>
    </row>
  </sheetData>
  <pageMargins left="0.7" right="0.7" top="0.75" bottom="0.75" header="0.3" footer="0.3"/>
  <pageSetup orientation="portrait" horizontalDpi="0" verticalDpi="0"/>
</worksheet>
</file>

<file path=xl/worksheets/sheet5.xml><?xml version="1.0" encoding="utf-8"?>
<worksheet xmlns="http://schemas.openxmlformats.org/spreadsheetml/2006/main">
  <sheetPr>
    <tabColor rgb="FF548235"/>
    <outlinePr summaryBelow="1" summaryRight="1"/>
    <pageSetUpPr/>
  </sheetPr>
  <dimension ref="A1:K94"/>
  <sheetViews>
    <sheetView topLeftCell="A10" workbookViewId="0">
      <selection activeCell="C49" sqref="C49"/>
    </sheetView>
  </sheetViews>
  <sheetFormatPr baseColWidth="10" defaultRowHeight="16"/>
  <cols>
    <col width="30" customWidth="1" min="1" max="1"/>
    <col width="16.6640625" customWidth="1" min="2" max="2"/>
    <col width="18.33203125" customWidth="1" min="3" max="3"/>
    <col width="16.6640625" customWidth="1" min="4" max="6"/>
    <col width="20.33203125" customWidth="1" min="7" max="7"/>
    <col width="29.5" customWidth="1" min="8" max="8"/>
  </cols>
  <sheetData>
    <row r="1">
      <c r="A1" s="85" t="inlineStr">
        <is>
          <t>ESCENARIOS Y SENSIBILIDAD</t>
        </is>
      </c>
      <c r="B1" s="103" t="n"/>
      <c r="C1" s="103" t="n"/>
      <c r="D1" s="103" t="n"/>
      <c r="E1" s="103" t="n"/>
      <c r="F1" s="103" t="n"/>
      <c r="H1" s="232" t="inlineStr">
        <is>
          <t>📖 GUÍA PARA EL INVERSIONISTA</t>
        </is>
      </c>
    </row>
    <row r="3">
      <c r="A3" s="87" t="inlineStr">
        <is>
          <t>SELECTOR DE ESCENARIO</t>
        </is>
      </c>
      <c r="B3" s="6" t="n"/>
      <c r="C3" s="6" t="n"/>
      <c r="D3" s="6" t="n"/>
      <c r="E3" s="6" t="n"/>
      <c r="F3" s="6" t="n"/>
      <c r="H3" s="233" t="inlineStr">
        <is>
          <t>¿QUÉ ES ESTA HOJA?</t>
        </is>
      </c>
    </row>
    <row r="4" ht="19" customHeight="1">
      <c r="A4" s="104" t="inlineStr">
        <is>
          <t>Escenario activo →</t>
        </is>
      </c>
      <c r="B4" s="105" t="n">
        <v>1</v>
      </c>
      <c r="C4" s="106" t="inlineStr">
        <is>
          <t>← Cambiar: 1 = Pesimista, 2 = Base, 3 = Optimista</t>
        </is>
      </c>
      <c r="H4" s="207" t="inlineStr">
        <is>
          <t>Esta hoja le permite explorar tres versiones del futuro de Super Meseros: una pesimista, una base (la más probable) y una optimista. Cada escenario usa supuestos diferentes sobre cuántos restaurantes se suman, cuántos se van, cuánto pagan y cuánto cuesta operar.</t>
        </is>
      </c>
    </row>
    <row r="5">
      <c r="A5" s="107" t="inlineStr">
        <is>
          <t>Escenario seleccionado:</t>
        </is>
      </c>
      <c r="B5" s="108">
        <f>CHOOSE(B4,"PESIMISTA","BASE (actual)","OPTIMISTA")</f>
        <v/>
      </c>
    </row>
    <row r="7" ht="88" customHeight="1">
      <c r="A7" s="87" t="inlineStr">
        <is>
          <t>PARÁMETROS POR ESCENARIO</t>
        </is>
      </c>
      <c r="B7" s="6" t="n"/>
      <c r="C7" s="6" t="n"/>
      <c r="D7" s="109" t="inlineStr">
        <is>
          <t>Pesimista</t>
        </is>
      </c>
      <c r="E7" s="110" t="inlineStr">
        <is>
          <t>Base</t>
        </is>
      </c>
      <c r="F7" s="111" t="inlineStr">
        <is>
          <t>Optimista</t>
        </is>
      </c>
      <c r="G7" s="625">
        <f>HYPERLINK("#Escenarios!H1","📖 Ver Guía para el Inversionista →")</f>
        <v/>
      </c>
    </row>
    <row r="8">
      <c r="A8" s="112" t="inlineStr">
        <is>
          <t>ONBOARDING</t>
        </is>
      </c>
      <c r="H8" s="233" t="inlineStr">
        <is>
          <t>¿CÓMO SE USA?</t>
        </is>
      </c>
    </row>
    <row r="9">
      <c r="A9" t="inlineStr">
        <is>
          <t xml:space="preserve">  Directos/mes — Fase 1 (Piloto)</t>
        </is>
      </c>
      <c r="B9" t="inlineStr">
        <is>
          <t>rest/mes</t>
        </is>
      </c>
      <c r="C9" s="230">
        <f>HYPERLINK("#'Supuestos Generales'!B12","→ Sup.Gen B12")</f>
        <v/>
      </c>
      <c r="D9" s="113" t="n">
        <v>2</v>
      </c>
      <c r="E9" s="114" t="n">
        <v>3</v>
      </c>
      <c r="F9" s="115" t="n">
        <v>3</v>
      </c>
      <c r="H9" s="208" t="inlineStr">
        <is>
          <t>Paso 1 → Cambie el número en la celda B4 (amarilla, arriba a la izquierda):</t>
        </is>
      </c>
    </row>
    <row r="10">
      <c r="A10" t="inlineStr">
        <is>
          <t xml:space="preserve">  Directos/mes — Fase 2 (Tracción)</t>
        </is>
      </c>
      <c r="B10" t="inlineStr">
        <is>
          <t>rest/mes</t>
        </is>
      </c>
      <c r="C10" s="230">
        <f>HYPERLINK("#'Supuestos Generales'!B13","→ Sup.Gen B13")</f>
        <v/>
      </c>
      <c r="D10" s="113" t="n">
        <v>4</v>
      </c>
      <c r="E10" s="114" t="n">
        <v>5</v>
      </c>
      <c r="F10" s="115" t="n">
        <v>6</v>
      </c>
      <c r="H10" s="234" t="inlineStr">
        <is>
          <t xml:space="preserve">   1 = Pesimista  |  2 = Base (actual)  |  3 = Optimista</t>
        </is>
      </c>
    </row>
    <row r="11">
      <c r="A11" t="inlineStr">
        <is>
          <t xml:space="preserve">  Directos/mes — Fase 3 (Crecimiento)</t>
        </is>
      </c>
      <c r="B11" t="inlineStr">
        <is>
          <t>rest/mes</t>
        </is>
      </c>
      <c r="C11" s="230">
        <f>HYPERLINK("#'Supuestos Generales'!B14","→ Sup.Gen B14")</f>
        <v/>
      </c>
      <c r="D11" s="113" t="n">
        <v>8</v>
      </c>
      <c r="E11" s="114" t="n">
        <v>9</v>
      </c>
      <c r="F11" s="115" t="n">
        <v>10</v>
      </c>
      <c r="H11" s="207" t="inlineStr">
        <is>
          <t>Al cambiar ese número, TODO el modelo financiero se recalcula automáticamente: ingresos, costos, márgenes, caja y los resultados de la sección "Resultados del Escenario Activo" (filas 28-41).</t>
        </is>
      </c>
    </row>
    <row r="12">
      <c r="A12" t="inlineStr">
        <is>
          <t xml:space="preserve">  Directos/mes — Fase 4 (Consolidación)</t>
        </is>
      </c>
      <c r="B12" t="inlineStr">
        <is>
          <t>rest/mes</t>
        </is>
      </c>
      <c r="C12" s="230">
        <f>HYPERLINK("#'Supuestos Generales'!B15","→ Sup.Gen B15")</f>
        <v/>
      </c>
      <c r="D12" s="113" t="n">
        <v>14</v>
      </c>
      <c r="E12" s="114" t="n">
        <v>15</v>
      </c>
      <c r="F12" s="115" t="n">
        <v>18</v>
      </c>
    </row>
    <row r="13">
      <c r="A13" t="inlineStr">
        <is>
          <t xml:space="preserve">  Directos/mes — Fase 5 (Madurez orgánica)</t>
        </is>
      </c>
      <c r="B13" t="inlineStr">
        <is>
          <t>rest/mes</t>
        </is>
      </c>
      <c r="C13" s="230">
        <f>HYPERLINK("#'Supuestos Generales'!B16","→ Sup.Gen B16")</f>
        <v/>
      </c>
      <c r="D13" s="113" t="n">
        <v>20</v>
      </c>
      <c r="E13" s="114" t="n">
        <v>22</v>
      </c>
      <c r="F13" s="115" t="n">
        <v>27</v>
      </c>
      <c r="H13" s="208" t="inlineStr">
        <is>
          <t>Paso 2 → Revise la sección "Parámetros por Escenario" (filas 7-26):</t>
        </is>
      </c>
    </row>
    <row r="14">
      <c r="H14" s="207" t="inlineStr">
        <is>
          <t>Aquí verá los supuestos que alimentan cada escenario en tres columnas: D (Pesimista en rosado), E (Base en verde) y F (Optimista en azul). Estos valores SÍ son editables: si quiere probar qué pasa con un churn de 4% en vez de 3%, simplemente cambie el valor en la celda correspondiente y el modelo se ajustará.</t>
        </is>
      </c>
    </row>
    <row r="15">
      <c r="A15" s="112" t="inlineStr">
        <is>
          <t>UNIT ECONOMICS</t>
        </is>
      </c>
    </row>
    <row r="16">
      <c r="A16" s="474" t="inlineStr">
        <is>
          <t xml:space="preserve">  Meseros promedio por restaurante</t>
        </is>
      </c>
      <c r="B16" s="296" t="inlineStr">
        <is>
          <t>#</t>
        </is>
      </c>
      <c r="C16" s="475">
        <f>HYPERLINK("#'Supuestos Generales'!B41","→ Ahora por segmentos (Sup.Gen B41:B52)")</f>
        <v/>
      </c>
      <c r="D16" s="476" t="n">
        <v>5</v>
      </c>
      <c r="E16" s="477" t="n">
        <v>8</v>
      </c>
      <c r="F16" s="478" t="n">
        <v>10</v>
      </c>
    </row>
    <row r="17">
      <c r="A17" t="inlineStr">
        <is>
          <t xml:space="preserve">  Churn mensual restaurantes</t>
        </is>
      </c>
      <c r="B17" t="inlineStr">
        <is>
          <t>%</t>
        </is>
      </c>
      <c r="C17" s="230">
        <f>HYPERLINK("#'Supuestos Generales'!B18","→ Sup.Gen B18 (fórmula)")</f>
        <v/>
      </c>
      <c r="D17" s="705" t="n">
        <v>0.05</v>
      </c>
      <c r="E17" s="706" t="n">
        <v>0.03</v>
      </c>
      <c r="F17" s="707" t="n">
        <v>0.02</v>
      </c>
      <c r="H17" s="208" t="inlineStr">
        <is>
          <t>Paso 3 → Consulte los resultados (filas 28-41):</t>
        </is>
      </c>
    </row>
    <row r="18">
      <c r="A18" t="inlineStr">
        <is>
          <t xml:space="preserve">  % meseros activos</t>
        </is>
      </c>
      <c r="B18" t="inlineStr">
        <is>
          <t>%</t>
        </is>
      </c>
      <c r="C18" s="230">
        <f>HYPERLINK("#'Supuestos Generales'!B20","→ Sup.Gen B20 (fórmula)")</f>
        <v/>
      </c>
      <c r="D18" s="705" t="n">
        <v>0.75</v>
      </c>
      <c r="E18" s="706" t="n">
        <v>0.85</v>
      </c>
      <c r="F18" s="707" t="n">
        <v>0.95</v>
      </c>
      <c r="H18" s="207" t="inlineStr">
        <is>
          <t>Esta sección muestra el resumen financiero a 60 meses del escenario activo: ingresos totales, EBITDA, utilidad neta, caja final, restaurantes activos y el mes en que se alcanza EBITDA positivo. Todos estos valores se actualizan solos al cambiar B4 o cualquier parámetro.</t>
        </is>
      </c>
    </row>
    <row r="19">
      <c r="A19" t="inlineStr">
        <is>
          <t xml:space="preserve">  ARPU restaurante (USD/mesero)</t>
        </is>
      </c>
      <c r="B19" t="inlineStr">
        <is>
          <t>USD</t>
        </is>
      </c>
      <c r="C19" s="298">
        <f>HYPERLINK("#'Supuestos Generales'!B41","→ Ahora por segmentos (Sup.Gen B41:B56)")</f>
        <v/>
      </c>
      <c r="D19" s="708" t="n">
        <v>10</v>
      </c>
      <c r="E19" s="709" t="n">
        <v>15</v>
      </c>
      <c r="F19" s="710" t="n">
        <v>20</v>
      </c>
    </row>
    <row r="20">
      <c r="A20" t="inlineStr">
        <is>
          <t xml:space="preserve">  ARPU marcas (USD/mesero)</t>
        </is>
      </c>
      <c r="B20" t="inlineStr">
        <is>
          <t>USD</t>
        </is>
      </c>
      <c r="C20" s="230">
        <f>HYPERLINK("#'Supuestos Generales'!B27","→ Sup.Gen B27 (fórmula)")</f>
        <v/>
      </c>
      <c r="D20" s="708" t="n">
        <v>7</v>
      </c>
      <c r="E20" s="709" t="n">
        <v>10</v>
      </c>
      <c r="F20" s="710" t="n">
        <v>15</v>
      </c>
    </row>
    <row r="21">
      <c r="A21" t="inlineStr">
        <is>
          <t xml:space="preserve">  Marcas promedio por restaurante</t>
        </is>
      </c>
      <c r="B21" t="inlineStr">
        <is>
          <t>#</t>
        </is>
      </c>
      <c r="C21" s="230">
        <f>HYPERLINK("#'Supuestos Generales'!B28","→ Sup.Gen B28 (fórmula)")</f>
        <v/>
      </c>
      <c r="D21" s="711" t="n">
        <v>1</v>
      </c>
      <c r="E21" s="712" t="n">
        <v>2</v>
      </c>
      <c r="F21" s="713" t="n">
        <v>3</v>
      </c>
      <c r="H21" s="233" t="inlineStr">
        <is>
          <t>¿QUÉ SIGNIFICAN LOS PARÁMETROS?</t>
        </is>
      </c>
    </row>
    <row r="22">
      <c r="A22" t="inlineStr">
        <is>
          <t xml:space="preserve">  SM compra por restaurante (USD/mesero/mes)</t>
        </is>
      </c>
      <c r="B22" t="inlineStr">
        <is>
          <t>USD</t>
        </is>
      </c>
      <c r="C22" s="475" t="inlineStr">
        <is>
          <t>→ Sup.Gen B31 (fórmula)</t>
        </is>
      </c>
      <c r="D22" s="714" t="n">
        <v>25</v>
      </c>
      <c r="E22" s="715" t="n">
        <v>35</v>
      </c>
      <c r="F22" s="716" t="n">
        <v>50</v>
      </c>
      <c r="H22" s="233" t="n"/>
    </row>
    <row r="23">
      <c r="A23" t="inlineStr">
        <is>
          <t xml:space="preserve">  SM compra por marca (USD/mesero/mes)</t>
        </is>
      </c>
      <c r="B23" t="inlineStr">
        <is>
          <t>USD</t>
        </is>
      </c>
      <c r="C23" s="475" t="inlineStr">
        <is>
          <t>→ Sup.Gen B32 (fórmula)</t>
        </is>
      </c>
      <c r="D23" s="714" t="n">
        <v>10</v>
      </c>
      <c r="E23" s="715" t="n">
        <v>20</v>
      </c>
      <c r="F23" s="716" t="n">
        <v>25</v>
      </c>
      <c r="H23" s="233" t="n"/>
    </row>
    <row r="24">
      <c r="A24" t="inlineStr">
        <is>
          <t xml:space="preserve">  % SM redimidas por meseros</t>
        </is>
      </c>
      <c r="B24" t="inlineStr">
        <is>
          <t>%</t>
        </is>
      </c>
      <c r="C24" s="475" t="inlineStr">
        <is>
          <t>→ Sup.Gen B33 (fórmula)</t>
        </is>
      </c>
      <c r="D24" s="717" t="n">
        <v>0.9</v>
      </c>
      <c r="E24" s="718" t="n">
        <v>0.85</v>
      </c>
      <c r="F24" s="719" t="n">
        <v>0.8</v>
      </c>
      <c r="H24" s="233" t="n"/>
    </row>
    <row r="25">
      <c r="A25" t="inlineStr">
        <is>
          <t xml:space="preserve">  % breakage (SM que vencen)</t>
        </is>
      </c>
      <c r="B25" t="inlineStr">
        <is>
          <t>%</t>
        </is>
      </c>
      <c r="C25" s="475" t="inlineStr">
        <is>
          <t>→ Sup.Gen B34 (fórmula)</t>
        </is>
      </c>
      <c r="D25" s="717" t="n">
        <v>0.08</v>
      </c>
      <c r="E25" s="718" t="n">
        <v>0.1</v>
      </c>
      <c r="F25" s="719" t="n">
        <v>0.12</v>
      </c>
      <c r="H25" s="233" t="n"/>
    </row>
    <row r="26">
      <c r="A26" t="inlineStr">
        <is>
          <t xml:space="preserve">  % redenciones en efectivo</t>
        </is>
      </c>
      <c r="B26" t="inlineStr">
        <is>
          <t>%</t>
        </is>
      </c>
      <c r="C26" s="475" t="inlineStr">
        <is>
          <t>→ Sup.Gen B36 (fórmula)</t>
        </is>
      </c>
      <c r="D26" s="717" t="n">
        <v>0.8</v>
      </c>
      <c r="E26" s="718" t="n">
        <v>0.7</v>
      </c>
      <c r="F26" s="719" t="n">
        <v>0.6</v>
      </c>
      <c r="H26" s="233" t="n"/>
    </row>
    <row r="27">
      <c r="A27" s="505" t="inlineStr">
        <is>
          <t>SEGMENTACIÓN</t>
        </is>
      </c>
      <c r="C27" s="475">
        <f>HYPERLINK("#'Supuestos Generales'!B41","→ Sup.Gen B41:B43 (fórmula)")</f>
        <v/>
      </c>
      <c r="D27" s="717" t="n"/>
      <c r="E27" s="718" t="n"/>
      <c r="F27" s="719" t="n"/>
      <c r="H27" s="233" t="n"/>
    </row>
    <row r="28">
      <c r="A28" s="193" t="inlineStr">
        <is>
          <t xml:space="preserve">  % Restaurantes Pequeños</t>
        </is>
      </c>
      <c r="B28" s="193" t="inlineStr">
        <is>
          <t>%</t>
        </is>
      </c>
      <c r="C28" s="475">
        <f>HYPERLINK("#'Supuestos Generales'!B41","→ Sup.Gen B41 (fórmula)")</f>
        <v/>
      </c>
      <c r="D28" s="506" t="n">
        <v>0.7</v>
      </c>
      <c r="E28" s="507" t="n">
        <v>0.5</v>
      </c>
      <c r="F28" s="508" t="n">
        <v>0.35</v>
      </c>
      <c r="H28" s="233" t="n"/>
    </row>
    <row r="29">
      <c r="A29" s="193" t="inlineStr">
        <is>
          <t xml:space="preserve">  % Restaurantes Medianos</t>
        </is>
      </c>
      <c r="B29" s="193" t="inlineStr">
        <is>
          <t>%</t>
        </is>
      </c>
      <c r="C29" s="475">
        <f>HYPERLINK("#'Supuestos Generales'!B42","→ Sup.Gen B42 (fórmula)")</f>
        <v/>
      </c>
      <c r="D29" s="506" t="n">
        <v>0.25</v>
      </c>
      <c r="E29" s="507" t="n">
        <v>0.35</v>
      </c>
      <c r="F29" s="508" t="n">
        <v>0.35</v>
      </c>
      <c r="H29" s="233" t="n"/>
    </row>
    <row r="30">
      <c r="A30" s="193" t="inlineStr">
        <is>
          <t xml:space="preserve">  % Restaurantes Grandes</t>
        </is>
      </c>
      <c r="B30" s="193" t="inlineStr">
        <is>
          <t>%</t>
        </is>
      </c>
      <c r="C30" s="475">
        <f>HYPERLINK("#'Supuestos Generales'!B43","→ Sup.Gen B43 (fórmula)")</f>
        <v/>
      </c>
      <c r="D30" s="506" t="n">
        <v>0.05</v>
      </c>
      <c r="E30" s="507" t="n">
        <v>0.15</v>
      </c>
      <c r="F30" s="508" t="n">
        <v>0.3</v>
      </c>
      <c r="H30" s="233" t="n"/>
    </row>
    <row r="31">
      <c r="A31" s="193" t="inlineStr">
        <is>
          <t xml:space="preserve">  % Restaurantes que hacen upgrade</t>
        </is>
      </c>
      <c r="B31" s="193" t="inlineStr">
        <is>
          <t>%</t>
        </is>
      </c>
      <c r="C31" s="475">
        <f>HYPERLINK("#'Supuestos Generales'!B59","→ Sup.Gen B59 (fórmula)")</f>
        <v/>
      </c>
      <c r="D31" s="506" t="n">
        <v>0.05</v>
      </c>
      <c r="E31" s="507" t="n">
        <v>0.1</v>
      </c>
      <c r="F31" s="508" t="n">
        <v>0.2</v>
      </c>
      <c r="H31" s="233" t="n"/>
    </row>
    <row r="32">
      <c r="H32" s="207" t="inlineStr">
        <is>
          <t>ONBOARDING (filas 9-13): Cuántos restaurantes nuevos se captan por mes en cada fase de crecimiento. Fase 1 es el piloto inicial; Fase 5 es escala completa.</t>
        </is>
      </c>
    </row>
    <row r="33">
      <c r="A33" s="112" t="inlineStr">
        <is>
          <t>COSTOS Y OPEX</t>
        </is>
      </c>
    </row>
    <row r="34">
      <c r="A34" t="inlineStr">
        <is>
          <t xml:space="preserve">  Factor escala OPEX fijo</t>
        </is>
      </c>
      <c r="B34" t="inlineStr">
        <is>
          <t>x</t>
        </is>
      </c>
      <c r="C34" s="291">
        <f>HYPERLINK("#'Supuestos Generales'!B105","→ Sup.Gen B105 (fórmula)")</f>
        <v/>
      </c>
      <c r="D34" s="708" t="n">
        <v>0.46</v>
      </c>
      <c r="E34" s="709" t="n">
        <v>1</v>
      </c>
      <c r="F34" s="710" t="n">
        <v>2</v>
      </c>
      <c r="H34" s="207" t="inlineStr">
        <is>
          <t>UNIT ECONOMICS (filas 16-20): Las métricas unitarias del negocio. Churn = % de restaurantes que se van cada mes. ARPU = ingreso promedio mensual por mesero activo. Marcas = cuántas marcas patrocinan por restaurante.</t>
        </is>
      </c>
    </row>
    <row r="35">
      <c r="A35" t="inlineStr">
        <is>
          <t xml:space="preserve">  Crecimiento semestral OPEX</t>
        </is>
      </c>
      <c r="B35" t="inlineStr">
        <is>
          <t>%</t>
        </is>
      </c>
      <c r="C35" s="230">
        <f>HYPERLINK("#'Supuestos Generales'!B102","→ Sup.Gen B102 (fórmula)")</f>
        <v/>
      </c>
      <c r="D35" s="705" t="n">
        <v>0.15</v>
      </c>
      <c r="E35" s="706" t="n">
        <v>0.1</v>
      </c>
      <c r="F35" s="707" t="n">
        <v>0.08</v>
      </c>
    </row>
    <row r="36">
      <c r="A36" t="inlineStr">
        <is>
          <t xml:space="preserve">  Soporte por restaurante</t>
        </is>
      </c>
      <c r="B36" t="inlineStr">
        <is>
          <t>USD</t>
        </is>
      </c>
      <c r="C36" s="230">
        <f>HYPERLINK("#'Supuestos Generales'!B49","→ Sup.Gen B49 (fórmula)")</f>
        <v/>
      </c>
      <c r="D36" s="708" t="n">
        <v>30</v>
      </c>
      <c r="E36" s="709" t="n">
        <v>25</v>
      </c>
      <c r="F36" s="710" t="n">
        <v>20</v>
      </c>
      <c r="H36" s="207" t="inlineStr">
        <is>
          <t>COSTOS Y OPEX (filas 23-26): OPEX base = gasto fijo mensual (equipo, tecnología, legal). Crecimiento OPEX = cuánto sube cada semestre. Soporte = costo de atender cada restaurante. Caja inicial = capital disponible al arrancar.</t>
        </is>
      </c>
    </row>
    <row r="37">
      <c r="A37" s="287" t="inlineStr">
        <is>
          <t xml:space="preserve">  Restaurantes por EM</t>
        </is>
      </c>
      <c r="B37" s="287" t="inlineStr">
        <is>
          <t>#</t>
        </is>
      </c>
      <c r="C37" s="298">
        <f>HYPERLINK("#'Supuestos Generales'!B59","→ Sup.Gen B59 (fórmula)")</f>
        <v/>
      </c>
      <c r="D37" s="299" t="n">
        <v>75</v>
      </c>
      <c r="E37" s="300" t="n">
        <v>90</v>
      </c>
      <c r="F37" s="301" t="n">
        <v>100</v>
      </c>
    </row>
    <row r="38">
      <c r="A38" s="287" t="inlineStr">
        <is>
          <t xml:space="preserve">  Restaurantes por Agente CS</t>
        </is>
      </c>
      <c r="B38" s="287" t="inlineStr">
        <is>
          <t>#</t>
        </is>
      </c>
      <c r="C38" s="298">
        <f>HYPERLINK("#'Supuestos Generales'!B50","→ Sup.Gen B50 (fórmula)")</f>
        <v/>
      </c>
      <c r="D38" s="299" t="n">
        <v>50</v>
      </c>
      <c r="E38" s="300" t="n">
        <v>65</v>
      </c>
      <c r="F38" s="301" t="n">
        <v>80</v>
      </c>
    </row>
    <row r="39">
      <c r="A39" s="287" t="inlineStr">
        <is>
          <t xml:space="preserve">  Margen Super Meseros sobre redención</t>
        </is>
      </c>
      <c r="B39" s="287" t="inlineStr">
        <is>
          <t>%</t>
        </is>
      </c>
      <c r="C39" s="475" t="inlineStr">
        <is>
          <t>→ Sup.Gen B35 (fórmula)</t>
        </is>
      </c>
      <c r="D39" s="717" t="n">
        <v>0.1</v>
      </c>
      <c r="E39" s="718" t="n">
        <v>0.15</v>
      </c>
      <c r="F39" s="719" t="n">
        <v>0.15</v>
      </c>
    </row>
    <row r="40">
      <c r="A40" t="inlineStr">
        <is>
          <t xml:space="preserve">  Caja inicial (funding)</t>
        </is>
      </c>
      <c r="B40" t="inlineStr">
        <is>
          <t>USD</t>
        </is>
      </c>
      <c r="C40" s="230">
        <f>HYPERLINK("#'Supuestos Generales'!B8","→ Sup.Gen B8 (editable)")</f>
        <v/>
      </c>
      <c r="D40" s="708" t="n">
        <v>500000</v>
      </c>
      <c r="E40" s="709" t="n">
        <v>500000</v>
      </c>
      <c r="F40" s="710" t="n">
        <v>500000</v>
      </c>
    </row>
    <row r="43">
      <c r="A43" s="112" t="inlineStr">
        <is>
          <t>PALANCAS DE ALIANZAS</t>
        </is>
      </c>
    </row>
    <row r="44">
      <c r="A44" t="inlineStr">
        <is>
          <t xml:space="preserve">  Toggle Coca-Cola</t>
        </is>
      </c>
      <c r="B44" t="inlineStr">
        <is>
          <t>0/1</t>
        </is>
      </c>
      <c r="C44" s="372" t="inlineStr">
        <is>
          <t>→ Palancas B10</t>
        </is>
      </c>
      <c r="D44" s="113" t="n">
        <v>1</v>
      </c>
      <c r="E44" s="114" t="n">
        <v>1</v>
      </c>
      <c r="F44" s="115" t="n">
        <v>1</v>
      </c>
    </row>
    <row r="45">
      <c r="A45" t="inlineStr">
        <is>
          <t xml:space="preserve">  Toggle ACODRES</t>
        </is>
      </c>
      <c r="B45" t="inlineStr">
        <is>
          <t>0/1</t>
        </is>
      </c>
      <c r="C45" s="372" t="inlineStr">
        <is>
          <t>→ Palancas F10</t>
        </is>
      </c>
      <c r="D45" s="113" t="n">
        <v>1</v>
      </c>
      <c r="E45" s="114" t="n">
        <v>1</v>
      </c>
      <c r="F45" s="115" t="n">
        <v>1</v>
      </c>
    </row>
    <row r="46">
      <c r="A46" t="inlineStr">
        <is>
          <t xml:space="preserve">  Toggle Bavaria</t>
        </is>
      </c>
      <c r="B46" t="inlineStr">
        <is>
          <t>0/1</t>
        </is>
      </c>
      <c r="C46" s="372" t="inlineStr">
        <is>
          <t>→ Palancas B18</t>
        </is>
      </c>
      <c r="D46" s="113" t="n">
        <v>0</v>
      </c>
      <c r="E46" s="114" t="n">
        <v>0</v>
      </c>
      <c r="F46" s="115" t="n">
        <v>1</v>
      </c>
    </row>
    <row r="47">
      <c r="A47" t="inlineStr">
        <is>
          <t xml:space="preserve">  Toggle FEMSA</t>
        </is>
      </c>
      <c r="B47" t="inlineStr">
        <is>
          <t>0/1</t>
        </is>
      </c>
      <c r="C47" s="372" t="inlineStr">
        <is>
          <t>→ Palancas F18</t>
        </is>
      </c>
      <c r="D47" s="113" t="n">
        <v>0</v>
      </c>
      <c r="E47" s="114" t="n">
        <v>0</v>
      </c>
      <c r="F47" s="115" t="n">
        <v>1</v>
      </c>
    </row>
    <row r="48">
      <c r="A48" t="inlineStr">
        <is>
          <t xml:space="preserve">  Toggle CC Florida</t>
        </is>
      </c>
      <c r="B48" t="inlineStr">
        <is>
          <t>0/1</t>
        </is>
      </c>
      <c r="C48" s="372" t="inlineStr">
        <is>
          <t>→ Palancas B26</t>
        </is>
      </c>
      <c r="D48" s="113" t="n">
        <v>0</v>
      </c>
      <c r="E48" s="114" t="n">
        <v>0</v>
      </c>
      <c r="F48" s="115" t="n">
        <v>1</v>
      </c>
    </row>
    <row r="49">
      <c r="A49" t="inlineStr">
        <is>
          <t xml:space="preserve">  Rest/mes por alianza (grandes)</t>
        </is>
      </c>
      <c r="B49" t="inlineStr">
        <is>
          <t>rest/mes</t>
        </is>
      </c>
      <c r="C49" s="372" t="inlineStr">
        <is>
          <t>→ Palancas (CC,ACO,BAV,FEMSA)</t>
        </is>
      </c>
      <c r="D49" s="113" t="n">
        <v>15</v>
      </c>
      <c r="E49" s="114" t="n">
        <v>25</v>
      </c>
      <c r="F49" s="115" t="n">
        <v>35</v>
      </c>
    </row>
    <row r="50">
      <c r="A50" t="inlineStr">
        <is>
          <t xml:space="preserve">  Rest/mes CC Florida</t>
        </is>
      </c>
      <c r="B50" t="inlineStr">
        <is>
          <t>rest/mes</t>
        </is>
      </c>
      <c r="C50" s="372" t="inlineStr">
        <is>
          <t>→ Palancas B29</t>
        </is>
      </c>
      <c r="D50" s="113" t="n">
        <v>5</v>
      </c>
      <c r="E50" s="114" t="n">
        <v>10</v>
      </c>
      <c r="F50" s="115" t="n">
        <v>15</v>
      </c>
    </row>
    <row r="51">
      <c r="A51" s="287" t="inlineStr">
        <is>
          <t xml:space="preserve">  Meses ramp-up alianzas</t>
        </is>
      </c>
      <c r="B51" t="inlineStr">
        <is>
          <t>meses</t>
        </is>
      </c>
      <c r="C51" s="372" t="inlineStr">
        <is>
          <t>→ Palancas (ramp-up gradual)</t>
        </is>
      </c>
      <c r="D51" s="433" t="n">
        <v>24</v>
      </c>
      <c r="E51" s="434" t="n">
        <v>18</v>
      </c>
      <c r="F51" s="435" t="n">
        <v>12</v>
      </c>
    </row>
    <row r="52">
      <c r="A52" s="87" t="inlineStr">
        <is>
          <t>RESULTADOS DEL ESCENARIO ACTIVO</t>
        </is>
      </c>
      <c r="B52" s="6" t="n"/>
      <c r="C52" s="6" t="n"/>
      <c r="D52" s="6" t="n"/>
      <c r="E52" s="6" t="n"/>
      <c r="F52" s="6" t="n"/>
      <c r="H52" s="233" t="inlineStr">
        <is>
          <t>¿QUÉ SON LAS TABLAS DE SENSIBILIDAD?</t>
        </is>
      </c>
    </row>
    <row r="53">
      <c r="A53" s="86" t="inlineStr">
        <is>
          <t>Escenario:</t>
        </is>
      </c>
      <c r="B53" s="125">
        <f>B5</f>
        <v/>
      </c>
      <c r="H53" s="207" t="inlineStr">
        <is>
          <t>Las tablas más abajo (filas 44-65) responden la pregunta: "¿Qué tanto cambia el resultado si un supuesto clave resulta diferente al esperado?"</t>
        </is>
      </c>
    </row>
    <row r="54">
      <c r="A54" t="inlineStr">
        <is>
          <t>Total Ingresos (60m)</t>
        </is>
      </c>
      <c r="B54" s="720">
        <f>'Estados Financieros'!BJ8</f>
        <v/>
      </c>
    </row>
    <row r="55">
      <c r="A55" t="inlineStr">
        <is>
          <t>Total Costos Directos (60m)</t>
        </is>
      </c>
      <c r="B55" s="721">
        <f>'Estados Financieros'!BJ11</f>
        <v/>
      </c>
      <c r="H55" s="207" t="inlineStr">
        <is>
          <t>TABLA 1 — EBITDA Acumulado: Muestra cuánta ganancia operativa genera el negocio en 60 meses combinando distintos niveles de churn (filas) con distintos niveles de ARPU (columnas). Los colores van de rojo (peor) a verde (mejor).</t>
        </is>
      </c>
    </row>
    <row r="56">
      <c r="A56" t="inlineStr">
        <is>
          <t>Utilidad Bruta (60m)</t>
        </is>
      </c>
      <c r="B56" s="720">
        <f>'Estados Financieros'!BJ13</f>
        <v/>
      </c>
    </row>
    <row r="57">
      <c r="A57" t="inlineStr">
        <is>
          <t>Margen Bruto promedio</t>
        </is>
      </c>
      <c r="B57" s="722">
        <f>IF(B54=0,0,B56/B54)</f>
        <v/>
      </c>
      <c r="H57" s="207" t="inlineStr">
        <is>
          <t>TABLA 2 — Caja Final: Muestra cuánto efectivo queda en caja al mes 60 combinando distintas velocidades de crecimiento del OPEX (filas) con distintos ritmos de captación de restaurantes (columnas). La celda amarilla marca el caso base actual.</t>
        </is>
      </c>
    </row>
    <row r="58">
      <c r="A58" t="inlineStr">
        <is>
          <t>EBITDA acumulado (60m)</t>
        </is>
      </c>
      <c r="B58" s="723">
        <f>'Estados Financieros'!BJ22</f>
        <v/>
      </c>
    </row>
    <row r="59">
      <c r="A59" t="inlineStr">
        <is>
          <t>Margen EBITDA promedio</t>
        </is>
      </c>
      <c r="B59" s="722">
        <f>IF(B54=0,0,B58/B54)</f>
        <v/>
      </c>
      <c r="H59" s="207" t="inlineStr">
        <is>
          <t>Ambas tablas cambian automáticamente al seleccionar otro escenario en B4. Los colores van de verde (resultado favorable) a rojo (resultado desfavorable) para facilitar la lectura visual.</t>
        </is>
      </c>
    </row>
    <row r="60">
      <c r="A60" s="193" t="inlineStr">
        <is>
          <t>Impuestos acumulados (60m)</t>
        </is>
      </c>
      <c r="B60" s="724">
        <f>'Estados Financieros'!BJ24</f>
        <v/>
      </c>
    </row>
    <row r="61">
      <c r="A61" s="198" t="inlineStr">
        <is>
          <t>Utilidad Neta acumulada (60m)</t>
        </is>
      </c>
      <c r="B61" s="725">
        <f>'Estados Financieros'!BJ25</f>
        <v/>
      </c>
    </row>
    <row r="62">
      <c r="A62" s="195" t="inlineStr">
        <is>
          <t>Margen Neto promedio</t>
        </is>
      </c>
      <c r="B62" s="726">
        <f>IF(B54=0,0,B61/B54)</f>
        <v/>
      </c>
      <c r="H62" s="235" t="inlineStr">
        <is>
          <t>⚠️ NOTA IMPORTANTE</t>
        </is>
      </c>
    </row>
    <row r="63">
      <c r="A63" t="inlineStr">
        <is>
          <t>Caja Final mes 60</t>
        </is>
      </c>
      <c r="B63" s="720">
        <f>'Estados Financieros'!BJ31</f>
        <v/>
      </c>
      <c r="H63" s="231" t="inlineStr">
        <is>
          <t>Si usted modifica manualmente algún valor en D9:F26, los Resultados (filas 28-41) se actualizarán al instante. Sin embargo, las Tablas de Sensibilidad fueron pre-calculadas con los supuestos originales y NO se recalculan solas. Para regenerarlas con sus nuevos valores, solicite al equipo financiero ejecutar la simulación de sensibilidad.</t>
        </is>
      </c>
    </row>
    <row r="64">
      <c r="A64" t="inlineStr">
        <is>
          <t>Restaurantes activos mes 60</t>
        </is>
      </c>
      <c r="B64" s="101">
        <f>'Estados Financieros'!BI35</f>
        <v/>
      </c>
    </row>
    <row r="65">
      <c r="A65" t="inlineStr">
        <is>
          <t>Mes EBITDA positivo</t>
        </is>
      </c>
      <c r="B65" s="727">
        <f t="array" ref="B65">MATCH(1,INDEX(('Estados Financieros'!B22:BI22&gt;0)*1,0),0)</f>
        <v/>
      </c>
    </row>
    <row r="67">
      <c r="A67" s="87" t="inlineStr">
        <is>
          <t>TABLAS DE SENSIBILIDAD</t>
        </is>
      </c>
      <c r="B67" s="6" t="n"/>
      <c r="C67" s="6" t="n"/>
      <c r="D67" s="6" t="n"/>
      <c r="E67" s="6" t="n"/>
      <c r="F67" s="6" t="n"/>
    </row>
    <row r="68">
      <c r="A68" s="128" t="inlineStr">
        <is>
          <t>TABLA 1: EBITDA Acumulado (60m)</t>
        </is>
      </c>
    </row>
    <row r="69" ht="17" customHeight="1" thickBot="1">
      <c r="A69" s="130" t="inlineStr">
        <is>
          <t>Churn mensual ↓  /  ARPU Restaurante →</t>
        </is>
      </c>
    </row>
    <row r="70">
      <c r="A70" s="135" t="n"/>
      <c r="B70" s="143" t="n">
        <v>8</v>
      </c>
      <c r="C70" s="143" t="n">
        <v>10</v>
      </c>
      <c r="D70" s="143" t="n">
        <v>12</v>
      </c>
      <c r="E70" s="143" t="n">
        <v>15</v>
      </c>
      <c r="F70" s="143" t="n">
        <v>18</v>
      </c>
      <c r="G70" s="143" t="n">
        <v>20</v>
      </c>
      <c r="H70" s="144" t="n">
        <v>25</v>
      </c>
    </row>
    <row r="71">
      <c r="A71" s="140" t="inlineStr">
        <is>
          <t>1.0%</t>
        </is>
      </c>
      <c r="B71" s="728">
        <f>CHOOSE($B$4,-955750,55282470,409843242)</f>
        <v/>
      </c>
      <c r="C71" s="728">
        <f>CHOOSE($B$4,-229189,57623807,416811908)</f>
        <v/>
      </c>
      <c r="D71" s="728">
        <f>CHOOSE($B$4,482393,59965143,423390962)</f>
        <v/>
      </c>
      <c r="E71" s="728">
        <f>CHOOSE($B$4,1479574,63477148,433843960)</f>
        <v/>
      </c>
      <c r="F71" s="728">
        <f>CHOOSE($B$4,2743440,66989153,444296959)</f>
        <v/>
      </c>
      <c r="G71" s="728">
        <f>CHOOSE($B$4,3586017,69330490,451265624)</f>
        <v/>
      </c>
      <c r="H71" s="729">
        <f>CHOOSE($B$4,5507765,75183831,468687288)</f>
        <v/>
      </c>
    </row>
    <row r="72">
      <c r="A72" s="140" t="inlineStr">
        <is>
          <t>2.0%</t>
        </is>
      </c>
      <c r="B72" s="728">
        <f>CHOOSE($B$4,-676245,48514966,360342089)</f>
        <v/>
      </c>
      <c r="C72" s="728">
        <f>CHOOSE($B$4,-120430,50527856,366371770)</f>
        <v/>
      </c>
      <c r="D72" s="728">
        <f>CHOOSE($B$4,527869,52540746,372401452)</f>
        <v/>
      </c>
      <c r="E72" s="728">
        <f>CHOOSE($B$4,1349528,55560081,381056362)</f>
        <v/>
      </c>
      <c r="F72" s="728">
        <f>CHOOSE($B$4,2437871,58579416,390100883)</f>
        <v/>
      </c>
      <c r="G72" s="728">
        <f>CHOOSE($B$4,3163434,60592306,396130564)</f>
        <v/>
      </c>
      <c r="H72" s="729">
        <f>CHOOSE($B$4,4792646,65624531,411204767)</f>
        <v/>
      </c>
    </row>
    <row r="73">
      <c r="A73" s="140" t="inlineStr">
        <is>
          <t>2.5%</t>
        </is>
      </c>
      <c r="B73" s="728">
        <f>CHOOSE($B$4,-553319,45646965,339177674)</f>
        <v/>
      </c>
      <c r="C73" s="728">
        <f>CHOOSE($B$4,-125378,47520301,344804731)</f>
        <v/>
      </c>
      <c r="D73" s="728">
        <f>CHOOSE($B$4,431792,49393637,350431787)</f>
        <v/>
      </c>
      <c r="E73" s="728">
        <f>CHOOSE($B$4,1295315,52203642,358482760)</f>
        <v/>
      </c>
      <c r="F73" s="728">
        <f>CHOOSE($B$4,2307742,55013646,366923345)</f>
        <v/>
      </c>
      <c r="G73" s="728">
        <f>CHOOSE($B$4,2982694,56886982,372550402)</f>
        <v/>
      </c>
      <c r="H73" s="729">
        <f>CHOOSE($B$4,4485377,61570323,386618043)</f>
        <v/>
      </c>
    </row>
    <row r="74">
      <c r="A74" s="141" t="inlineStr">
        <is>
          <t>3.0%</t>
        </is>
      </c>
      <c r="B74" s="728">
        <f>CHOOSE($B$4,-464291,43035241,320109603)</f>
        <v/>
      </c>
      <c r="C74" s="728">
        <f>CHOOSE($B$4,-67704,44781196,325372789)</f>
        <v/>
      </c>
      <c r="D74" s="728">
        <f>CHOOSE($B$4,444657,46527150,330635976)</f>
        <v/>
      </c>
      <c r="E74" s="730">
        <f>CHOOSE($B$4,1240966,49146081,338530757)</f>
        <v/>
      </c>
      <c r="F74" s="728">
        <f>CHOOSE($B$4,2186180,51765012,346035925)</f>
        <v/>
      </c>
      <c r="G74" s="728">
        <f>CHOOSE($B$4,2816322,53510966,351299112)</f>
        <v/>
      </c>
      <c r="H74" s="729">
        <f>CHOOSE($B$4,4206984,57875852,364457079)</f>
        <v/>
      </c>
    </row>
    <row r="75">
      <c r="A75" s="140" t="inlineStr">
        <is>
          <t>3.5%</t>
        </is>
      </c>
      <c r="B75" s="728">
        <f>CHOOSE($B$4,-368045,40718478,302827187)</f>
        <v/>
      </c>
      <c r="C75" s="728">
        <f>CHOOSE($B$4,-11460,42350811,307760035)</f>
        <v/>
      </c>
      <c r="D75" s="728">
        <f>CHOOSE($B$4,460899,43983144,312692883)</f>
        <v/>
      </c>
      <c r="E75" s="728">
        <f>CHOOSE($B$4,1197205,46431643,320092155)</f>
        <v/>
      </c>
      <c r="F75" s="728">
        <f>CHOOSE($B$4,2082416,48880143,327101815)</f>
        <v/>
      </c>
      <c r="G75" s="728">
        <f>CHOOSE($B$4,2672556,50512475,332034663)</f>
        <v/>
      </c>
      <c r="H75" s="729">
        <f>CHOOSE($B$4,3963213,54593308,344366784)</f>
        <v/>
      </c>
    </row>
    <row r="76">
      <c r="A76" s="140" t="inlineStr">
        <is>
          <t>4.0%</t>
        </is>
      </c>
      <c r="B76" s="728">
        <f>CHOOSE($B$4,-290443,38612836,287129318)</f>
        <v/>
      </c>
      <c r="C76" s="728">
        <f>CHOOSE($B$4,58043,40142121,291761477)</f>
        <v/>
      </c>
      <c r="D76" s="728">
        <f>CHOOSE($B$4,479919,41671407,296393637)</f>
        <v/>
      </c>
      <c r="E76" s="728">
        <f>CHOOSE($B$4,1174139,43965334,303341876)</f>
        <v/>
      </c>
      <c r="F76" s="728">
        <f>CHOOSE($B$4,2003808,46259262,309900503)</f>
        <v/>
      </c>
      <c r="G76" s="728">
        <f>CHOOSE($B$4,2556921,47788547,314532662)</f>
        <v/>
      </c>
      <c r="H76" s="729">
        <f>CHOOSE($B$4,3755009,51611760,326113060)</f>
        <v/>
      </c>
    </row>
    <row r="77" ht="17" customHeight="1" thickBot="1">
      <c r="A77" s="142" t="inlineStr">
        <is>
          <t>5.0%</t>
        </is>
      </c>
      <c r="B77" s="731">
        <f>CHOOSE($B$4,-218078,34965666,259944454)</f>
        <v/>
      </c>
      <c r="C77" s="731">
        <f>CHOOSE($B$4,139736,36314907,264054340)</f>
        <v/>
      </c>
      <c r="D77" s="731">
        <f>CHOOSE($B$4,361859,37664147,268164227)</f>
        <v/>
      </c>
      <c r="E77" s="731">
        <f>CHOOSE($B$4,1095071,39688008,274329056)</f>
        <v/>
      </c>
      <c r="F77" s="731">
        <f>CHOOSE($B$4,1828283,41711869,280104274)</f>
        <v/>
      </c>
      <c r="G77" s="731">
        <f>CHOOSE($B$4,2317092,43061110,284214161)</f>
        <v/>
      </c>
      <c r="H77" s="732">
        <f>CHOOSE($B$4,3354418,46434212,294488877)</f>
        <v/>
      </c>
    </row>
    <row r="80">
      <c r="A80" s="128" t="inlineStr">
        <is>
          <t>TABLA 2: Caja Final (Mes 60)</t>
        </is>
      </c>
    </row>
    <row r="81" ht="17" customHeight="1" thickBot="1">
      <c r="A81" s="130" t="inlineStr">
        <is>
          <t>Crecimiento OPEX semestral ↓  /  Multiplicador ritmo onboarding →</t>
        </is>
      </c>
    </row>
    <row r="82">
      <c r="A82" s="135" t="n"/>
      <c r="B82" s="138" t="inlineStr">
        <is>
          <t>0.5x</t>
        </is>
      </c>
      <c r="C82" s="138" t="inlineStr">
        <is>
          <t>0.7x</t>
        </is>
      </c>
      <c r="D82" s="138" t="inlineStr">
        <is>
          <t>0.85x</t>
        </is>
      </c>
      <c r="E82" s="138" t="inlineStr">
        <is>
          <t>1.0x</t>
        </is>
      </c>
      <c r="F82" s="138" t="inlineStr">
        <is>
          <t>1.15x</t>
        </is>
      </c>
      <c r="G82" s="138" t="inlineStr">
        <is>
          <t>1.3x</t>
        </is>
      </c>
      <c r="H82" s="139" t="inlineStr">
        <is>
          <t>1.5x</t>
        </is>
      </c>
    </row>
    <row r="83">
      <c r="A83" s="140" t="inlineStr">
        <is>
          <t>5%</t>
        </is>
      </c>
      <c r="B83" s="728">
        <f>CHOOSE($B$4,304428,27524091,236399708)</f>
        <v/>
      </c>
      <c r="C83" s="728">
        <f>CHOOSE($B$4,428930,29441680,245128698)</f>
        <v/>
      </c>
      <c r="D83" s="728">
        <f>CHOOSE($B$4,527411,31285632,251763233)</f>
        <v/>
      </c>
      <c r="E83" s="728">
        <f>CHOOSE($B$4,612700,32702240,258378437)</f>
        <v/>
      </c>
      <c r="F83" s="728">
        <f>CHOOSE($B$4,708294,34131997,265487125)</f>
        <v/>
      </c>
      <c r="G83" s="728">
        <f>CHOOSE($B$4,802109,36206601,271719425)</f>
        <v/>
      </c>
      <c r="H83" s="729">
        <f>CHOOSE($B$4,880230,38261814,281817214)</f>
        <v/>
      </c>
    </row>
    <row r="84">
      <c r="A84" s="140" t="inlineStr">
        <is>
          <t>7%</t>
        </is>
      </c>
      <c r="B84" s="728">
        <f>CHOOSE($B$4,283615,27403498,236158522)</f>
        <v/>
      </c>
      <c r="C84" s="728">
        <f>CHOOSE($B$4,408443,29321087,244887512)</f>
        <v/>
      </c>
      <c r="D84" s="728">
        <f>CHOOSE($B$4,506924,31165038,251522047)</f>
        <v/>
      </c>
      <c r="E84" s="728">
        <f>CHOOSE($B$4,592213,32581647,258064464)</f>
        <v/>
      </c>
      <c r="F84" s="728">
        <f>CHOOSE($B$4,687807,34011404,265173151)</f>
        <v/>
      </c>
      <c r="G84" s="728">
        <f>CHOOSE($B$4,781622,36086008,271405451)</f>
        <v/>
      </c>
      <c r="H84" s="729">
        <f>CHOOSE($B$4,838270,38141221,281503241)</f>
        <v/>
      </c>
    </row>
    <row r="85">
      <c r="A85" s="140" t="inlineStr">
        <is>
          <t>8%</t>
        </is>
      </c>
      <c r="B85" s="728">
        <f>CHOOSE($B$4,295950,27338910,236029346)</f>
        <v/>
      </c>
      <c r="C85" s="728">
        <f>CHOOSE($B$4,397794,29256499,244758336)</f>
        <v/>
      </c>
      <c r="D85" s="728">
        <f>CHOOSE($B$4,496275,31100451,251392871)</f>
        <v/>
      </c>
      <c r="E85" s="733">
        <f>CHOOSE($B$4,581565,32517059,257894590)</f>
        <v/>
      </c>
      <c r="F85" s="728">
        <f>CHOOSE($B$4,677158,33946816,265003277)</f>
        <v/>
      </c>
      <c r="G85" s="728">
        <f>CHOOSE($B$4,770973,36021420,271235577)</f>
        <v/>
      </c>
      <c r="H85" s="729">
        <f>CHOOSE($B$4,816037,38076634,281333367)</f>
        <v/>
      </c>
    </row>
    <row r="86">
      <c r="A86" s="141" t="inlineStr">
        <is>
          <t>10%</t>
        </is>
      </c>
      <c r="B86" s="728">
        <f>CHOOSE($B$4,280564,27200509,235752545)</f>
        <v/>
      </c>
      <c r="C86" s="728">
        <f>CHOOSE($B$4,375657,29118098,244481534)</f>
        <v/>
      </c>
      <c r="D86" s="728">
        <f>CHOOSE($B$4,474138,30962050,251116069)</f>
        <v/>
      </c>
      <c r="E86" s="730">
        <f>CHOOSE($B$4,559427,32378658,257526796)</f>
        <v/>
      </c>
      <c r="F86" s="728">
        <f>CHOOSE($B$4,655021,33808415,264635484)</f>
        <v/>
      </c>
      <c r="G86" s="728">
        <f>CHOOSE($B$4,748836,35883020,270867784)</f>
        <v/>
      </c>
      <c r="H86" s="729">
        <f>CHOOSE($B$4,818370,37938233,280965573)</f>
        <v/>
      </c>
    </row>
    <row r="87">
      <c r="A87" s="140" t="inlineStr">
        <is>
          <t>12%</t>
        </is>
      </c>
      <c r="B87" s="728">
        <f>CHOOSE($B$4,264592,27048893,235449313)</f>
        <v/>
      </c>
      <c r="C87" s="728">
        <f>CHOOSE($B$4,352359,28966482,244178303)</f>
        <v/>
      </c>
      <c r="D87" s="728">
        <f>CHOOSE($B$4,450840,30810434,250812838)</f>
        <v/>
      </c>
      <c r="E87" s="728">
        <f>CHOOSE($B$4,536130,32227042,257118329)</f>
        <v/>
      </c>
      <c r="F87" s="728">
        <f>CHOOSE($B$4,631723,33656800,264227017)</f>
        <v/>
      </c>
      <c r="G87" s="728">
        <f>CHOOSE($B$4,725539,35731404,270459316)</f>
        <v/>
      </c>
      <c r="H87" s="729">
        <f>CHOOSE($B$4,781486,37786617,280557106)</f>
        <v/>
      </c>
    </row>
    <row r="88">
      <c r="A88" s="140" t="inlineStr">
        <is>
          <t>15%</t>
        </is>
      </c>
      <c r="B88" s="728">
        <f>CHOOSE($B$4,239366,26794102,234939731)</f>
        <v/>
      </c>
      <c r="C88" s="728">
        <f>CHOOSE($B$4,315041,28711691,243668721)</f>
        <v/>
      </c>
      <c r="D88" s="728">
        <f>CHOOSE($B$4,413610,30555643,250303256)</f>
        <v/>
      </c>
      <c r="E88" s="728">
        <f>CHOOSE($B$4,498899,31972251,256419941)</f>
        <v/>
      </c>
      <c r="F88" s="728">
        <f>CHOOSE($B$4,594492,33402009,263528628)</f>
        <v/>
      </c>
      <c r="G88" s="728">
        <f>CHOOSE($B$4,688308,35476613,269760928)</f>
        <v/>
      </c>
      <c r="H88" s="729">
        <f>CHOOSE($B$4,721785,37531826,279858718)</f>
        <v/>
      </c>
    </row>
    <row r="89" ht="17" customHeight="1" thickBot="1">
      <c r="A89" s="142" t="inlineStr">
        <is>
          <t>20%</t>
        </is>
      </c>
      <c r="B89" s="731">
        <f>CHOOSE($B$4,192993,26285447,233922421)</f>
        <v/>
      </c>
      <c r="C89" s="731">
        <f>CHOOSE($B$4,243566,28203036,242651410)</f>
        <v/>
      </c>
      <c r="D89" s="731">
        <f>CHOOSE($B$4,345032,30046988,249285945)</f>
        <v/>
      </c>
      <c r="E89" s="731">
        <f>CHOOSE($B$4,430322,31463596,254986407)</f>
        <v/>
      </c>
      <c r="F89" s="731">
        <f>CHOOSE($B$4,525915,32893353,262095095)</f>
        <v/>
      </c>
      <c r="G89" s="731">
        <f>CHOOSE($B$4,619731,34967957,268327395)</f>
        <v/>
      </c>
      <c r="H89" s="732">
        <f>CHOOSE($B$4,609488,37023171,278425184)</f>
        <v/>
      </c>
    </row>
    <row r="91">
      <c r="A91" s="131" t="inlineStr">
        <is>
          <t>Notas:</t>
        </is>
      </c>
    </row>
    <row r="92">
      <c r="A92" s="129" t="inlineStr">
        <is>
          <t>• Celda amarilla = caso base (parámetros actuales del modelo)</t>
        </is>
      </c>
    </row>
    <row r="93">
      <c r="A93" s="129" t="inlineStr">
        <is>
          <t>• Tabla 1: Varía churn mensual (1%-5%) y ARPU por mesero ($8-$25)</t>
        </is>
      </c>
    </row>
    <row r="94">
      <c r="A94" s="129" t="inlineStr">
        <is>
          <t>• Tabla 2: Varía crecimiento semestral OPEX (5%-20%) y velocidad de onboarding (0.5x-1.5x del plan base)</t>
        </is>
      </c>
    </row>
  </sheetData>
  <mergeCells count="1">
    <mergeCell ref="G7:K7"/>
  </mergeCells>
  <conditionalFormatting sqref="B71:H77">
    <cfRule type="colorScale" priority="1">
      <colorScale>
        <cfvo type="min"/>
        <cfvo type="percentile" val="50"/>
        <cfvo type="max"/>
        <color rgb="FFFF6B6B"/>
        <color rgb="FFFFD93D"/>
        <color rgb="FF6BCB77"/>
      </colorScale>
    </cfRule>
  </conditionalFormatting>
  <conditionalFormatting sqref="B83:H89">
    <cfRule type="colorScale" priority="2">
      <colorScale>
        <cfvo type="min"/>
        <cfvo type="percentile" val="50"/>
        <cfvo type="max"/>
        <color rgb="FFFF6B6B"/>
        <color rgb="FFFFD93D"/>
        <color rgb="FF6BCB77"/>
      </colorScale>
    </cfRule>
  </conditionalFormatting>
  <dataValidations count="1">
    <dataValidation sqref="B4" showDropDown="0" showInputMessage="1" showErrorMessage="1" allowBlank="1" promptTitle="Selector de Escenario" prompt="1 = Pesimista_x000a_2 = Base_x000a_3 = Optimista" type="list">
      <formula1>"1,2,3"</formula1>
    </dataValidation>
  </dataValidations>
  <pageMargins left="0.7" right="0.7" top="0.75" bottom="0.75" header="0.3" footer="0.3"/>
  <pageSetup orientation="portrait" horizontalDpi="0" verticalDpi="0"/>
</worksheet>
</file>

<file path=xl/worksheets/sheet6.xml><?xml version="1.0" encoding="utf-8"?>
<worksheet xmlns="http://schemas.openxmlformats.org/spreadsheetml/2006/main">
  <sheetPr>
    <tabColor rgb="FF548235"/>
    <outlinePr summaryBelow="1" summaryRight="1"/>
    <pageSetUpPr/>
  </sheetPr>
  <dimension ref="A1:G35"/>
  <sheetViews>
    <sheetView workbookViewId="0">
      <selection activeCell="B32" sqref="B32"/>
    </sheetView>
  </sheetViews>
  <sheetFormatPr baseColWidth="10" defaultRowHeight="16"/>
  <cols>
    <col width="36.6640625" customWidth="1" min="1" max="1"/>
    <col width="15" customWidth="1" min="2" max="2"/>
    <col width="36.6640625" customWidth="1" min="5" max="5"/>
    <col width="21.6640625" customWidth="1" min="6" max="6"/>
  </cols>
  <sheetData>
    <row r="1" ht="19" customHeight="1">
      <c r="A1" s="21" t="inlineStr">
        <is>
          <t>PALANCAS DE CRECIMIENTO — Alianzas Estratégicas</t>
        </is>
      </c>
      <c r="B1" s="2" t="n"/>
      <c r="C1" s="2" t="n"/>
      <c r="D1" s="2" t="n"/>
      <c r="E1" s="2" t="n"/>
      <c r="F1" s="430" t="inlineStr">
        <is>
          <t>⚡ ESCENARIO</t>
        </is>
      </c>
      <c r="G1" s="2" t="n"/>
    </row>
    <row r="2">
      <c r="A2" s="623" t="inlineStr">
        <is>
          <t>Toggles y velocidades controlados por escenario (Escenarios!B4). Para override manual: editar valores en Escenarios filas 32-38.</t>
        </is>
      </c>
      <c r="F2" s="327">
        <f>CHOOSE(Escenarios!B4,"PESIMISTA","BASE","OPTIMISTA")</f>
        <v/>
      </c>
    </row>
    <row r="3">
      <c r="F3" s="431">
        <f>HYPERLINK("#Escenarios!B4","✏️ Cambiar escenario →")</f>
        <v/>
      </c>
    </row>
    <row r="4">
      <c r="A4" s="22" t="inlineStr">
        <is>
          <t>MODO DE CONTROL</t>
        </is>
      </c>
      <c r="B4" s="225" t="inlineStr">
        <is>
          <t>AUTOMÁTICO</t>
        </is>
      </c>
      <c r="C4" s="263" t="inlineStr">
        <is>
          <t>← Toggles y velocidades controlados por escenario. Para override: editar valores en Escenarios filas 32-38.</t>
        </is>
      </c>
    </row>
    <row r="5">
      <c r="A5" s="27" t="n"/>
    </row>
    <row r="6">
      <c r="A6" s="22" t="inlineStr">
        <is>
          <t>PARÁMETROS GLOBALES</t>
        </is>
      </c>
      <c r="B6" s="5" t="n"/>
      <c r="C6" s="28" t="n"/>
      <c r="D6" s="28" t="n"/>
      <c r="E6" s="28" t="n"/>
      <c r="F6" s="28" t="n"/>
      <c r="G6" s="28" t="n"/>
    </row>
    <row r="7">
      <c r="A7" s="289" t="inlineStr">
        <is>
          <t>% Solapamiento entre alianzas</t>
        </is>
      </c>
      <c r="B7" s="334" t="n">
        <v>0.35</v>
      </c>
      <c r="C7" s="263" t="inlineStr">
        <is>
          <t>← Editable</t>
        </is>
      </c>
    </row>
    <row r="8">
      <c r="A8" s="25" t="inlineStr">
        <is>
          <t>Pipeline neto total (ajust. solapamiento)</t>
        </is>
      </c>
      <c r="B8" s="336">
        <f>ROUND((B14+F14+B22)*(1-B7)+F22+B30, 0)</f>
        <v/>
      </c>
      <c r="C8" s="262" t="inlineStr">
        <is>
          <t>restaurantes</t>
        </is>
      </c>
    </row>
    <row r="9">
      <c r="A9" s="29" t="inlineStr">
        <is>
          <t>CAC por restaurante vía alianzas</t>
        </is>
      </c>
      <c r="B9" s="344" t="n">
        <v>60</v>
      </c>
      <c r="C9" s="263" t="inlineStr">
        <is>
          <t>USD / rest</t>
        </is>
      </c>
    </row>
    <row r="10">
      <c r="A10" s="436" t="inlineStr">
        <is>
          <t>Meses ramp-up alianzas</t>
        </is>
      </c>
      <c r="B10" s="336">
        <f>CHOOSE(Escenarios!$B$4,Escenarios!$D$51,Escenarios!$E$51,Escenarios!$F$51)</f>
        <v/>
      </c>
      <c r="C10" s="263" t="inlineStr">
        <is>
          <t>meses</t>
        </is>
      </c>
    </row>
    <row r="12">
      <c r="A12" s="337" t="inlineStr">
        <is>
          <t>COCA-COLA</t>
        </is>
      </c>
      <c r="B12" s="338" t="inlineStr">
        <is>
          <t>Valor</t>
        </is>
      </c>
      <c r="C12" s="339" t="n"/>
      <c r="D12" s="339" t="n"/>
      <c r="E12" s="340" t="inlineStr">
        <is>
          <t>ACODRES</t>
        </is>
      </c>
      <c r="F12" s="341" t="inlineStr">
        <is>
          <t>Valor</t>
        </is>
      </c>
      <c r="G12" s="342" t="n"/>
    </row>
    <row r="13">
      <c r="A13" s="343" t="inlineStr">
        <is>
          <t>Toggle ON/OFF</t>
        </is>
      </c>
      <c r="B13" s="335">
        <f>CHOOSE(Escenarios!$B$4,Escenarios!$D$44,Escenarios!$E$44,Escenarios!$F$44)</f>
        <v/>
      </c>
      <c r="C13" s="263" t="inlineStr">
        <is>
          <t>1=ON, 0=OFF</t>
        </is>
      </c>
      <c r="E13" s="289" t="inlineStr">
        <is>
          <t>Toggle ON/OFF</t>
        </is>
      </c>
      <c r="F13" s="335">
        <f>CHOOSE(Escenarios!$B$4,Escenarios!$D$45,Escenarios!$E$45,Escenarios!$F$45)</f>
        <v/>
      </c>
      <c r="G13" s="263" t="inlineStr">
        <is>
          <t>1=ON, 0=OFF</t>
        </is>
      </c>
    </row>
    <row r="14">
      <c r="A14" s="343" t="inlineStr">
        <is>
          <t>Pipeline total</t>
        </is>
      </c>
      <c r="B14" s="344" t="n">
        <v>5000</v>
      </c>
      <c r="C14" s="263" t="inlineStr">
        <is>
          <t>rest</t>
        </is>
      </c>
      <c r="E14" s="289" t="inlineStr">
        <is>
          <t>Pipeline total</t>
        </is>
      </c>
      <c r="F14" s="344" t="n">
        <v>12000</v>
      </c>
      <c r="G14" s="263" t="inlineStr">
        <is>
          <t>rest</t>
        </is>
      </c>
    </row>
    <row r="15">
      <c r="A15" s="343" t="inlineStr">
        <is>
          <t>Mes de activación</t>
        </is>
      </c>
      <c r="B15" s="7" t="n">
        <v>6</v>
      </c>
      <c r="C15" s="263" t="inlineStr">
        <is>
          <t>mes</t>
        </is>
      </c>
      <c r="E15" s="289" t="inlineStr">
        <is>
          <t>Mes de activación</t>
        </is>
      </c>
      <c r="F15" s="7" t="n">
        <v>6</v>
      </c>
      <c r="G15" s="263" t="inlineStr">
        <is>
          <t>mes</t>
        </is>
      </c>
    </row>
    <row r="16">
      <c r="A16" s="343" t="inlineStr">
        <is>
          <t>Restaurantes/mes</t>
        </is>
      </c>
      <c r="B16" s="335">
        <f>CHOOSE(Escenarios!$B$4,Escenarios!$D$49,Escenarios!$E$49,Escenarios!$F$49)</f>
        <v/>
      </c>
      <c r="C16" s="263" t="inlineStr">
        <is>
          <t>rest/mes</t>
        </is>
      </c>
      <c r="E16" s="289" t="inlineStr">
        <is>
          <t>Restaurantes/mes</t>
        </is>
      </c>
      <c r="F16" s="335">
        <f>CHOOSE(Escenarios!$B$4,Escenarios!$D$49,Escenarios!$E$49,Escenarios!$F$49)</f>
        <v/>
      </c>
      <c r="G16" s="263" t="inlineStr">
        <is>
          <t>rest/mes</t>
        </is>
      </c>
    </row>
    <row r="17">
      <c r="A17" s="25" t="inlineStr">
        <is>
          <t>Pipeline neto (ajust. solap.)</t>
        </is>
      </c>
      <c r="B17" s="336">
        <f>ROUND(B14*(1-$B$7), 0)</f>
        <v/>
      </c>
      <c r="C17" s="263" t="inlineStr">
        <is>
          <t>rest</t>
        </is>
      </c>
      <c r="E17" s="25" t="inlineStr">
        <is>
          <t>Pipeline neto (ajust. solap.)</t>
        </is>
      </c>
      <c r="F17" s="336">
        <f>ROUND(F14*(1-$B$7), 0)</f>
        <v/>
      </c>
      <c r="G17" s="263" t="inlineStr">
        <is>
          <t>rest</t>
        </is>
      </c>
    </row>
    <row r="18">
      <c r="A18" s="25" t="inlineStr">
        <is>
          <t>Meses para agotar pipeline</t>
        </is>
      </c>
      <c r="B18" s="335">
        <f>IF(B16=0,"-",CEILING(B17/B16,1))</f>
        <v/>
      </c>
      <c r="C18" s="263" t="inlineStr">
        <is>
          <t>meses</t>
        </is>
      </c>
      <c r="E18" s="25" t="inlineStr">
        <is>
          <t>Meses para agotar pipeline</t>
        </is>
      </c>
      <c r="F18" s="335">
        <f>IF(F16=0,"-",CEILING(F17/F16,1))</f>
        <v/>
      </c>
      <c r="G18" s="263" t="inlineStr">
        <is>
          <t>meses</t>
        </is>
      </c>
    </row>
    <row r="20">
      <c r="A20" s="345" t="inlineStr">
        <is>
          <t>BAVARIA</t>
        </is>
      </c>
      <c r="B20" s="346" t="inlineStr">
        <is>
          <t>Valor</t>
        </is>
      </c>
      <c r="C20" s="347" t="n"/>
      <c r="E20" s="348" t="inlineStr">
        <is>
          <t>FEMSA VENTURES (México)</t>
        </is>
      </c>
      <c r="F20" s="349" t="inlineStr">
        <is>
          <t>Valor</t>
        </is>
      </c>
      <c r="G20" s="350" t="n"/>
    </row>
    <row r="21">
      <c r="A21" s="351" t="inlineStr">
        <is>
          <t>Toggle ON/OFF</t>
        </is>
      </c>
      <c r="B21" s="335">
        <f>CHOOSE(Escenarios!$B$4,Escenarios!$D$46,Escenarios!$E$46,Escenarios!$F$46)</f>
        <v/>
      </c>
      <c r="C21" s="263" t="inlineStr">
        <is>
          <t>1=ON, 0=OFF</t>
        </is>
      </c>
      <c r="E21" s="352" t="inlineStr">
        <is>
          <t>Toggle ON/OFF</t>
        </is>
      </c>
      <c r="F21" s="335">
        <f>CHOOSE(Escenarios!$B$4,Escenarios!$D$47,Escenarios!$E$47,Escenarios!$F$47)</f>
        <v/>
      </c>
      <c r="G21" s="263" t="inlineStr">
        <is>
          <t>1=ON, 0=OFF</t>
        </is>
      </c>
    </row>
    <row r="22">
      <c r="A22" s="351" t="inlineStr">
        <is>
          <t>Pipeline total</t>
        </is>
      </c>
      <c r="B22" s="344" t="n">
        <v>4500</v>
      </c>
      <c r="C22" s="263" t="inlineStr">
        <is>
          <t>rest</t>
        </is>
      </c>
      <c r="E22" s="352" t="inlineStr">
        <is>
          <t>Pipeline total</t>
        </is>
      </c>
      <c r="F22" s="344" t="n">
        <v>50000</v>
      </c>
      <c r="G22" s="263" t="inlineStr">
        <is>
          <t>rest</t>
        </is>
      </c>
    </row>
    <row r="23">
      <c r="A23" s="351" t="inlineStr">
        <is>
          <t>Mes de activación</t>
        </is>
      </c>
      <c r="B23" s="7" t="n">
        <v>12</v>
      </c>
      <c r="C23" s="263" t="inlineStr">
        <is>
          <t>mes</t>
        </is>
      </c>
      <c r="E23" s="352" t="inlineStr">
        <is>
          <t>Mes de activación</t>
        </is>
      </c>
      <c r="F23" s="7" t="n">
        <v>24</v>
      </c>
      <c r="G23" s="263" t="inlineStr">
        <is>
          <t>mes</t>
        </is>
      </c>
    </row>
    <row r="24">
      <c r="A24" s="351" t="inlineStr">
        <is>
          <t>Restaurantes/mes</t>
        </is>
      </c>
      <c r="B24" s="335">
        <f>CHOOSE(Escenarios!$B$4,Escenarios!$D$49,Escenarios!$E$49,Escenarios!$F$49)</f>
        <v/>
      </c>
      <c r="C24" s="263" t="inlineStr">
        <is>
          <t>rest/mes</t>
        </is>
      </c>
      <c r="E24" s="352" t="inlineStr">
        <is>
          <t>Restaurantes/mes</t>
        </is>
      </c>
      <c r="F24" s="335">
        <f>CHOOSE(Escenarios!$B$4,Escenarios!$D$49,Escenarios!$E$49,Escenarios!$F$49)</f>
        <v/>
      </c>
      <c r="G24" s="263" t="inlineStr">
        <is>
          <t>rest/mes</t>
        </is>
      </c>
    </row>
    <row r="25">
      <c r="A25" s="25" t="inlineStr">
        <is>
          <t>Pipeline neto (ajust. solap.)</t>
        </is>
      </c>
      <c r="B25" s="336">
        <f>ROUND(B22*(1-$B$7), 0)</f>
        <v/>
      </c>
      <c r="C25" s="263" t="inlineStr">
        <is>
          <t>rest</t>
        </is>
      </c>
      <c r="E25" s="25" t="inlineStr">
        <is>
          <t>Pipeline neto (sin solapamiento)</t>
        </is>
      </c>
      <c r="F25" s="336">
        <f>F22</f>
        <v/>
      </c>
      <c r="G25" s="263" t="inlineStr">
        <is>
          <t>rest</t>
        </is>
      </c>
    </row>
    <row r="26">
      <c r="A26" s="25" t="inlineStr">
        <is>
          <t>Meses para agotar pipeline</t>
        </is>
      </c>
      <c r="B26" s="335">
        <f>IF(B24=0,"-",CEILING(B25/B24,1))</f>
        <v/>
      </c>
      <c r="C26" s="263" t="inlineStr">
        <is>
          <t>meses</t>
        </is>
      </c>
      <c r="E26" s="25" t="inlineStr">
        <is>
          <t>Meses para agotar pipeline</t>
        </is>
      </c>
      <c r="F26" s="335">
        <f>IF(F24=0,"-",CEILING(F25/F24,1))</f>
        <v/>
      </c>
      <c r="G26" s="263" t="inlineStr">
        <is>
          <t>meses</t>
        </is>
      </c>
    </row>
    <row r="28">
      <c r="A28" s="357" t="inlineStr">
        <is>
          <t>COCA-COLA FLORIDA (USA)</t>
        </is>
      </c>
      <c r="B28" s="358" t="inlineStr">
        <is>
          <t>Valor</t>
        </is>
      </c>
      <c r="C28" s="359" t="n"/>
    </row>
    <row r="29">
      <c r="A29" s="360" t="inlineStr">
        <is>
          <t>Toggle ON/OFF</t>
        </is>
      </c>
      <c r="B29" s="335">
        <f>CHOOSE(Escenarios!$B$4,Escenarios!$D$48,Escenarios!$E$48,Escenarios!$F$48)</f>
        <v/>
      </c>
      <c r="C29" s="263" t="inlineStr">
        <is>
          <t>1=ON, 0=OFF</t>
        </is>
      </c>
    </row>
    <row r="30">
      <c r="A30" s="360" t="inlineStr">
        <is>
          <t>Pipeline total</t>
        </is>
      </c>
      <c r="B30" s="344" t="n">
        <v>5000</v>
      </c>
      <c r="C30" s="263" t="inlineStr">
        <is>
          <t>rest</t>
        </is>
      </c>
    </row>
    <row r="31">
      <c r="A31" s="360" t="inlineStr">
        <is>
          <t>Mes de activación</t>
        </is>
      </c>
      <c r="B31" s="7" t="n">
        <v>36</v>
      </c>
      <c r="C31" s="263" t="inlineStr">
        <is>
          <t>mes</t>
        </is>
      </c>
    </row>
    <row r="32">
      <c r="A32" s="360" t="inlineStr">
        <is>
          <t>Restaurantes/mes</t>
        </is>
      </c>
      <c r="B32" s="335">
        <f>CHOOSE(Escenarios!$B$4,Escenarios!$D$50,Escenarios!$E$50,Escenarios!$F$50)</f>
        <v/>
      </c>
      <c r="C32" s="263" t="inlineStr">
        <is>
          <t>rest/mes</t>
        </is>
      </c>
    </row>
    <row r="33">
      <c r="A33" s="25" t="inlineStr">
        <is>
          <t>Pipeline neto (sin solapamiento)</t>
        </is>
      </c>
      <c r="B33" s="336">
        <f>B30</f>
        <v/>
      </c>
      <c r="C33" s="263" t="inlineStr">
        <is>
          <t>rest</t>
        </is>
      </c>
    </row>
    <row r="34">
      <c r="A34" s="25" t="inlineStr">
        <is>
          <t>Mes fin (auto por pipeline)</t>
        </is>
      </c>
      <c r="B34" s="336">
        <f>IF(B32=0,60,MIN(60,B31+CEILING(B30/B32,1)-1))</f>
        <v/>
      </c>
      <c r="C34" s="263" t="inlineStr">
        <is>
          <t>mes</t>
        </is>
      </c>
    </row>
    <row r="35">
      <c r="A35" s="25" t="inlineStr">
        <is>
          <t>Meses para agotar pipeline</t>
        </is>
      </c>
      <c r="B35" s="335">
        <f>IF(B32=0,"-",CEILING(B33/B32,1))</f>
        <v/>
      </c>
      <c r="C35" s="263" t="inlineStr">
        <is>
          <t>meses</t>
        </is>
      </c>
    </row>
  </sheetData>
  <pageMargins left="0.7" right="0.7" top="0.75" bottom="0.75" header="0.3" footer="0.3"/>
  <pageSetup orientation="portrait" horizontalDpi="0" verticalDpi="0"/>
  <legacyDrawing xmlns:r="http://schemas.openxmlformats.org/officeDocument/2006/relationships" r:id="anysvml"/>
</worksheet>
</file>

<file path=xl/worksheets/sheet7.xml><?xml version="1.0" encoding="utf-8"?>
<worksheet xmlns="http://schemas.openxmlformats.org/spreadsheetml/2006/main">
  <sheetPr>
    <tabColor rgb="FF548235"/>
    <outlinePr summaryBelow="1" summaryRight="1"/>
    <pageSetUpPr/>
  </sheetPr>
  <dimension ref="A1:E167"/>
  <sheetViews>
    <sheetView topLeftCell="A21" zoomScale="130" zoomScaleNormal="130" workbookViewId="0">
      <selection activeCell="B48" sqref="B48"/>
    </sheetView>
  </sheetViews>
  <sheetFormatPr baseColWidth="10" defaultRowHeight="16"/>
  <cols>
    <col width="46.6640625" customWidth="1" min="1" max="1"/>
    <col width="16.6640625" customWidth="1" min="2" max="2"/>
    <col width="46.6640625" customWidth="1" min="3" max="3"/>
    <col width="43.33203125" customWidth="1" min="4" max="4"/>
    <col width="36.6640625" customWidth="1" min="5" max="5"/>
  </cols>
  <sheetData>
    <row r="1" ht="19" customHeight="1">
      <c r="A1" s="1" t="inlineStr">
        <is>
          <t>SUPUESTOS GENERALES</t>
        </is>
      </c>
      <c r="B1" s="2" t="n"/>
    </row>
    <row r="2">
      <c r="A2" s="3" t="inlineStr">
        <is>
          <t>Super Meseros - SaaS B2B2C - Plataforma Gamificada de Motivación y Reconocimiento para Meseros</t>
        </is>
      </c>
    </row>
    <row r="4">
      <c r="A4" s="4" t="inlineStr">
        <is>
          <t>PARÁMETROS GENERALES</t>
        </is>
      </c>
      <c r="B4" s="5" t="inlineStr">
        <is>
          <t>Valor</t>
        </is>
      </c>
      <c r="C4" s="4" t="inlineStr">
        <is>
          <t>Notas</t>
        </is>
      </c>
    </row>
    <row r="5">
      <c r="A5" s="6" t="inlineStr">
        <is>
          <t>Mes de inicio</t>
        </is>
      </c>
      <c r="B5" s="7" t="n">
        <v>1</v>
      </c>
      <c r="C5" s="8" t="inlineStr">
        <is>
          <t>Mes 1 = inicio de operaciones</t>
        </is>
      </c>
    </row>
    <row r="6">
      <c r="A6" s="6" t="inlineStr">
        <is>
          <t>Horizonte del modelo (meses)</t>
        </is>
      </c>
      <c r="B6" s="7" t="n">
        <v>60</v>
      </c>
      <c r="C6" s="8" t="inlineStr">
        <is>
          <t>5 años de proyección mensual</t>
        </is>
      </c>
    </row>
    <row r="7">
      <c r="A7" s="6" t="inlineStr">
        <is>
          <t>Moneda</t>
        </is>
      </c>
      <c r="B7" s="7" t="inlineStr">
        <is>
          <t>USD</t>
        </is>
      </c>
      <c r="C7" s="8" t="inlineStr">
        <is>
          <t>Dólares americanos</t>
        </is>
      </c>
    </row>
    <row r="8">
      <c r="A8" s="6" t="inlineStr">
        <is>
          <t>Caja inicial (funding)</t>
        </is>
      </c>
      <c r="B8" s="734" t="n">
        <v>500000</v>
      </c>
      <c r="C8" s="8" t="inlineStr">
        <is>
          <t>Capital semilla / pre-seed</t>
        </is>
      </c>
    </row>
    <row r="10">
      <c r="A10" s="4" t="inlineStr">
        <is>
          <t>RESTAURANTES Y ONBOARDING</t>
        </is>
      </c>
      <c r="B10" s="5" t="inlineStr">
        <is>
          <t>Valor</t>
        </is>
      </c>
      <c r="C10" s="10" t="inlineStr">
        <is>
          <t>Notas</t>
        </is>
      </c>
    </row>
    <row r="11">
      <c r="A11" s="39" t="inlineStr">
        <is>
          <t>Rampa de onboarding por fase</t>
        </is>
      </c>
      <c r="B11" s="40" t="inlineStr">
        <is>
          <t>Mes inicio</t>
        </is>
      </c>
      <c r="C11" s="41" t="inlineStr">
        <is>
          <t>Mes fin</t>
        </is>
      </c>
      <c r="D11" s="40" t="inlineStr">
        <is>
          <t>Directos/mes</t>
        </is>
      </c>
    </row>
    <row r="12">
      <c r="A12" s="17" t="inlineStr">
        <is>
          <t>Fase 1 — Piloto</t>
        </is>
      </c>
      <c r="B12" s="49">
        <f>CHOOSE(Escenarios!$B$4,Escenarios!$D$9,Escenarios!$E$9,Escenarios!$F$9)</f>
        <v/>
      </c>
      <c r="C12" s="42" t="n">
        <v>3</v>
      </c>
      <c r="D12" s="225">
        <f>CHOOSE(Escenarios!$B$4,Escenarios!$D$9,Escenarios!$E$9,Escenarios!$F$9)</f>
        <v/>
      </c>
      <c r="E12" s="228">
        <f>HYPERLINK("#Escenarios!D9","→ Modificar en Escenarios!D9:F9")</f>
        <v/>
      </c>
    </row>
    <row r="13">
      <c r="A13" s="17" t="inlineStr">
        <is>
          <t>Fase 2 — Tracción</t>
        </is>
      </c>
      <c r="B13" s="49">
        <f>CHOOSE(Escenarios!$B$4,Escenarios!$D$10,Escenarios!$E$10,Escenarios!$F$10)</f>
        <v/>
      </c>
      <c r="C13" s="42" t="n">
        <v>6</v>
      </c>
      <c r="D13" s="225">
        <f>CHOOSE(Escenarios!$B$4,Escenarios!$D$10,Escenarios!$E$10,Escenarios!$F$10)</f>
        <v/>
      </c>
      <c r="E13" s="228">
        <f>HYPERLINK("#Escenarios!D10","→ Modificar en Escenarios!D10:F10")</f>
        <v/>
      </c>
    </row>
    <row r="14">
      <c r="A14" s="17" t="inlineStr">
        <is>
          <t>Fase 3 — Crecimiento</t>
        </is>
      </c>
      <c r="B14" s="49">
        <f>CHOOSE(Escenarios!$B$4,Escenarios!$D$11,Escenarios!$E$11,Escenarios!$F$11)</f>
        <v/>
      </c>
      <c r="C14" s="42" t="n">
        <v>12</v>
      </c>
      <c r="D14" s="225">
        <f>CHOOSE(Escenarios!$B$4,Escenarios!$D$11,Escenarios!$E$11,Escenarios!$F$11)</f>
        <v/>
      </c>
      <c r="E14" s="228">
        <f>HYPERLINK("#Escenarios!D11","→ Modificar en Escenarios!D11:F11")</f>
        <v/>
      </c>
    </row>
    <row r="15">
      <c r="A15" s="17" t="inlineStr">
        <is>
          <t>Fase 4 — Consolidación</t>
        </is>
      </c>
      <c r="B15" s="49">
        <f>CHOOSE(Escenarios!$B$4,Escenarios!$D$12,Escenarios!$E$12,Escenarios!$F$12)</f>
        <v/>
      </c>
      <c r="C15" s="42" t="n">
        <v>24</v>
      </c>
      <c r="D15" s="225">
        <f>CHOOSE(Escenarios!$B$4,Escenarios!$D$12,Escenarios!$E$12,Escenarios!$F$12)</f>
        <v/>
      </c>
      <c r="E15" s="228">
        <f>HYPERLINK("#Escenarios!D12","→ Modificar en Escenarios!D12:F12")</f>
        <v/>
      </c>
    </row>
    <row r="16">
      <c r="A16" s="17" t="inlineStr">
        <is>
          <t>Fase 5 — Madurez orgánica</t>
        </is>
      </c>
      <c r="B16" s="49">
        <f>CHOOSE(Escenarios!$B$4,Escenarios!$D$13,Escenarios!$E$13,Escenarios!$F$13)</f>
        <v/>
      </c>
      <c r="C16" s="42" t="n">
        <v>60</v>
      </c>
      <c r="D16" s="225">
        <f>CHOOSE(Escenarios!$B$4,Escenarios!$D$13,Escenarios!$E$13,Escenarios!$F$13)</f>
        <v/>
      </c>
      <c r="E16" s="228">
        <f>HYPERLINK("#Escenarios!D13","→ Modificar en Escenarios!D13:F13")</f>
        <v/>
      </c>
    </row>
    <row r="17">
      <c r="A17" s="6" t="n"/>
      <c r="B17" s="735" t="n"/>
      <c r="C17" s="8" t="n"/>
    </row>
    <row r="18">
      <c r="A18" s="6" t="inlineStr">
        <is>
          <t>Churn mensual de restaurantes (%)</t>
        </is>
      </c>
      <c r="B18" s="736">
        <f>CHOOSE(Escenarios!$B$4,Escenarios!$D$17,Escenarios!$E$17,Escenarios!$F$17)</f>
        <v/>
      </c>
      <c r="C18" s="8" t="inlineStr">
        <is>
          <t>% de restaurantes que salen por mes</t>
        </is>
      </c>
      <c r="D18" s="228">
        <f>HYPERLINK("#Escenarios!D16","→ Modificar en Escenarios!D16:F16")</f>
        <v/>
      </c>
    </row>
    <row r="19">
      <c r="A19" s="6" t="inlineStr">
        <is>
          <t>Meseros promedio por restaurante</t>
        </is>
      </c>
      <c r="B19" s="225">
        <f>B57</f>
        <v/>
      </c>
      <c r="C19" s="290" t="inlineStr">
        <is>
          <t>Promedio de meseros por restaurante</t>
        </is>
      </c>
      <c r="D19" s="479" t="inlineStr">
        <is>
          <t>→ Modificar en Escenarios!D16:F16</t>
        </is>
      </c>
    </row>
    <row r="20">
      <c r="A20" s="6" t="inlineStr">
        <is>
          <t>% de meseros activos</t>
        </is>
      </c>
      <c r="B20" s="736">
        <f>CHOOSE(Escenarios!$B$4,Escenarios!$D$18,Escenarios!$E$18,Escenarios!$F$18)</f>
        <v/>
      </c>
      <c r="C20" s="8" t="inlineStr">
        <is>
          <t>Meseros que usan activamente la plataforma</t>
        </is>
      </c>
      <c r="D20" s="228">
        <f>HYPERLINK("#Escenarios!D17","→ Modificar en Escenarios!D17:F17")</f>
        <v/>
      </c>
    </row>
    <row r="21">
      <c r="A21" s="6" t="inlineStr">
        <is>
          <t>Churn mensual de meseros (%)</t>
        </is>
      </c>
      <c r="B21" s="735" t="n">
        <v>0.05</v>
      </c>
      <c r="C21" s="8" t="inlineStr">
        <is>
          <t>Rotación natural de meseros</t>
        </is>
      </c>
    </row>
    <row r="23">
      <c r="A23" s="4" t="inlineStr">
        <is>
          <t>FEES E INGRESOS</t>
        </is>
      </c>
      <c r="B23" s="5" t="inlineStr">
        <is>
          <t>Valor</t>
        </is>
      </c>
      <c r="C23" s="10" t="inlineStr">
        <is>
          <t>Notas</t>
        </is>
      </c>
    </row>
    <row r="24">
      <c r="A24" s="6" t="inlineStr">
        <is>
          <t>SetUp Fee por restaurante (one-time)</t>
        </is>
      </c>
      <c r="B24" s="734" t="n">
        <v>500</v>
      </c>
      <c r="C24" s="8" t="inlineStr">
        <is>
          <t>Cobro único al incorporar restaurante</t>
        </is>
      </c>
    </row>
    <row r="25">
      <c r="A25" s="6" t="inlineStr">
        <is>
          <t>Entry Fee por restaurante-marca (one-time)</t>
        </is>
      </c>
      <c r="B25" s="734" t="n">
        <v>300</v>
      </c>
      <c r="C25" s="8" t="inlineStr">
        <is>
          <t>Cobro a marca por entrar en un restaurante</t>
        </is>
      </c>
    </row>
    <row r="26">
      <c r="A26" s="6" t="inlineStr">
        <is>
          <t>ARPU mensual por mesero (restaurante)</t>
        </is>
      </c>
      <c r="B26" s="737">
        <f>B56</f>
        <v/>
      </c>
      <c r="C26" s="290" t="inlineStr">
        <is>
          <t>← Ahora calculado por mix de segmentos (ver fila 56)</t>
        </is>
      </c>
      <c r="D26" s="228">
        <f>HYPERLINK("#'Supuestos Generales'!B41","→ Modificar mix en B41:B43, fees en B46:B48")</f>
        <v/>
      </c>
    </row>
    <row r="27">
      <c r="A27" s="6" t="inlineStr">
        <is>
          <t>ARPU mensual por mesero (marcas)</t>
        </is>
      </c>
      <c r="B27" s="737">
        <f>CHOOSE(Escenarios!$B$4,Escenarios!$D$20,Escenarios!$E$20,Escenarios!$F$20)</f>
        <v/>
      </c>
      <c r="C27" s="8" t="inlineStr">
        <is>
          <t>Fee recurrente cobrado a marcas</t>
        </is>
      </c>
      <c r="D27" s="228">
        <f>HYPERLINK("#Escenarios!D19","→ Modificar en Escenarios!D19:F19")</f>
        <v/>
      </c>
    </row>
    <row r="28">
      <c r="A28" s="6" t="inlineStr">
        <is>
          <t>Marcas promedio por restaurante</t>
        </is>
      </c>
      <c r="B28" s="222">
        <f>CHOOSE(Escenarios!$B$4,Escenarios!$D$21,Escenarios!$E$21,Escenarios!$F$21)</f>
        <v/>
      </c>
      <c r="C28" s="8" t="inlineStr">
        <is>
          <t>Número de marcas activas por restaurante</t>
        </is>
      </c>
      <c r="D28" s="228">
        <f>HYPERLINK("#Escenarios!D20","→ Modificar en Escenarios!D20:F20")</f>
        <v/>
      </c>
    </row>
    <row r="29">
      <c r="A29" s="6" t="inlineStr">
        <is>
          <t>Crecimiento mensual de marcas/restaurante (%)</t>
        </is>
      </c>
      <c r="B29" s="735" t="n">
        <v>0.01</v>
      </c>
      <c r="C29" s="8" t="inlineStr">
        <is>
          <t>Aumento gradual de marcas por restaurante</t>
        </is>
      </c>
    </row>
    <row r="30">
      <c r="A30" s="13" t="inlineStr">
        <is>
          <t>— SUPER MONEDAS —</t>
        </is>
      </c>
      <c r="B30" s="738" t="n"/>
      <c r="C30" s="15" t="n"/>
    </row>
    <row r="31">
      <c r="A31" s="6" t="inlineStr">
        <is>
          <t>Compra de Super Monedas por restaurante (USD/mes/mesero)</t>
        </is>
      </c>
      <c r="B31" s="739">
        <f>CHOOSE(Escenarios!$B$4,Escenarios!$D$22,Escenarios!$E$22,Escenarios!$F$22)</f>
        <v/>
      </c>
      <c r="C31" s="8" t="inlineStr">
        <is>
          <t>Monto que restaurantes compran en monedas por mesero</t>
        </is>
      </c>
    </row>
    <row r="32">
      <c r="A32" s="6" t="inlineStr">
        <is>
          <t>Compra de Super Monedas por marca (USD/mes/mesero)</t>
        </is>
      </c>
      <c r="B32" s="739">
        <f>CHOOSE(Escenarios!$B$4,Escenarios!$D$23,Escenarios!$E$23,Escenarios!$F$23)</f>
        <v/>
      </c>
      <c r="C32" s="8" t="inlineStr">
        <is>
          <t>Monto que marcas compran en monedas por mesero</t>
        </is>
      </c>
    </row>
    <row r="33">
      <c r="A33" s="6" t="inlineStr">
        <is>
          <t>% de Super Monedas redimidas por meseros</t>
        </is>
      </c>
      <c r="B33" s="740">
        <f>CHOOSE(Escenarios!$B$4,Escenarios!$D$24,Escenarios!$E$24,Escenarios!$F$24)</f>
        <v/>
      </c>
      <c r="C33" s="8" t="inlineStr">
        <is>
          <t>Porcentaje que los meseros efectivamente canjean</t>
        </is>
      </c>
    </row>
    <row r="34">
      <c r="A34" s="6" t="inlineStr">
        <is>
          <t>% de Super Monedas que vencen (breakage)</t>
        </is>
      </c>
      <c r="B34" s="740">
        <f>CHOOSE(Escenarios!$B$4,Escenarios!$D$25,Escenarios!$E$25,Escenarios!$F$25)</f>
        <v/>
      </c>
      <c r="C34" s="8" t="inlineStr">
        <is>
          <t>Monedas no redimidas = ingreso para Super Meseros</t>
        </is>
      </c>
    </row>
    <row r="35">
      <c r="A35" s="6" t="inlineStr">
        <is>
          <t>Margen de Super Meseros sobre redención (%)</t>
        </is>
      </c>
      <c r="B35" s="740">
        <f>CHOOSE(Escenarios!$B$4,Escenarios!$D$39,Escenarios!$E$39,Escenarios!$F$39)</f>
        <v/>
      </c>
      <c r="C35" s="8" t="inlineStr">
        <is>
          <t>Ingreso neto = 20% de lo que meseros redimen</t>
        </is>
      </c>
    </row>
    <row r="36">
      <c r="A36" s="6" t="inlineStr">
        <is>
          <t>% de redenciones Super Monedas en efectivo</t>
        </is>
      </c>
      <c r="B36" s="740">
        <f>CHOOSE(Escenarios!$B$4,Escenarios!$D$26,Escenarios!$E$26,Escenarios!$F$26)</f>
        <v/>
      </c>
      <c r="C36" s="8" t="inlineStr">
        <is>
          <t>% de meseros que canjean monedas por dinero en efectivo</t>
        </is>
      </c>
    </row>
    <row r="37">
      <c r="A37" s="6" t="inlineStr">
        <is>
          <t>Tasa pasarela de pago (%)</t>
        </is>
      </c>
      <c r="B37" s="735" t="n">
        <v>0.035</v>
      </c>
      <c r="C37" s="8" t="inlineStr">
        <is>
          <t>Comisión procesador de pagos sobre transacciones</t>
        </is>
      </c>
    </row>
    <row r="38">
      <c r="A38" s="6" t="inlineStr">
        <is>
          <t>Tasa de impuestos sobre utilidades (%)</t>
        </is>
      </c>
      <c r="B38" s="735" t="n">
        <v>0.35</v>
      </c>
      <c r="C38" s="8" t="inlineStr">
        <is>
          <t>Impuesto de renta corporativo (Colombia)</t>
        </is>
      </c>
    </row>
    <row r="39">
      <c r="A39" s="22" t="inlineStr">
        <is>
          <t>SEGMENTACIÓN DE RESTAURANTES</t>
        </is>
      </c>
      <c r="B39" s="741" t="inlineStr">
        <is>
          <t>Valor</t>
        </is>
      </c>
      <c r="C39" s="73" t="inlineStr">
        <is>
          <t>Notas</t>
        </is>
      </c>
    </row>
    <row r="40">
      <c r="A40" s="74" t="inlineStr">
        <is>
          <t>— Mix de Segmentos (% del total de restaurantes) —</t>
        </is>
      </c>
      <c r="B40" s="735" t="n"/>
      <c r="C40" s="8" t="n"/>
    </row>
    <row r="41">
      <c r="A41" s="17" t="inlineStr">
        <is>
          <t>% Restaurantes Pequeños (Plan Light)</t>
        </is>
      </c>
      <c r="B41" s="364">
        <f>CHOOSE(Escenarios!$B$4,Escenarios!$D$28,Escenarios!$E$28,Escenarios!$F$28)</f>
        <v/>
      </c>
      <c r="C41" s="290" t="inlineStr">
        <is>
          <t>Ventas $10K-$80K/mes, 5 meseros típicos</t>
        </is>
      </c>
      <c r="D41" s="292">
        <f>HYPERLINK("#Escenarios!D28","→ Modificar en Escenarios!D28:F28")</f>
        <v/>
      </c>
    </row>
    <row r="42">
      <c r="A42" s="17" t="inlineStr">
        <is>
          <t>% Restaurantes Medianos (Plan Standard)</t>
        </is>
      </c>
      <c r="B42" s="364">
        <f>CHOOSE(Escenarios!$B$4,Escenarios!$D$29,Escenarios!$E$29,Escenarios!$F$29)</f>
        <v/>
      </c>
      <c r="C42" s="290" t="inlineStr">
        <is>
          <t>Ventas $80K-$200K/mes, 10 meseros típicos</t>
        </is>
      </c>
      <c r="D42" s="292">
        <f>HYPERLINK("#Escenarios!D29","→ Modificar en Escenarios!D29:F29")</f>
        <v/>
      </c>
    </row>
    <row r="43">
      <c r="A43" s="17" t="inlineStr">
        <is>
          <t>% Restaurantes Grandes (Plan Premium)</t>
        </is>
      </c>
      <c r="B43" s="364">
        <f>CHOOSE(Escenarios!$B$4,Escenarios!$D$30,Escenarios!$E$30,Escenarios!$F$30)</f>
        <v/>
      </c>
      <c r="C43" s="290" t="inlineStr">
        <is>
          <t>Ventas $200K-$500K/mes, 25 meseros típicos</t>
        </is>
      </c>
      <c r="D43" s="292">
        <f>HYPERLINK("#Escenarios!D30","→ Modificar en Escenarios!D30:F30")</f>
        <v/>
      </c>
    </row>
    <row r="44">
      <c r="A44" s="25" t="inlineStr">
        <is>
          <t>Validación mix</t>
        </is>
      </c>
      <c r="B44" s="364">
        <f>B41+B42+B43</f>
        <v/>
      </c>
      <c r="C44" s="290">
        <f>IF(B44=1,"✓ Suma 100%","⚠️ NO suma 100%")</f>
        <v/>
      </c>
    </row>
    <row r="45">
      <c r="A45" s="74" t="inlineStr">
        <is>
          <t>— Fee Base por Segmento (USD/mesero/mes) —</t>
        </is>
      </c>
      <c r="B45" s="735" t="n"/>
      <c r="C45" s="8" t="n"/>
    </row>
    <row r="46">
      <c r="A46" s="17" t="inlineStr">
        <is>
          <t>Fee Base — Pequeño</t>
        </is>
      </c>
      <c r="B46" s="742" t="n">
        <v>12</v>
      </c>
      <c r="C46" s="290" t="inlineStr">
        <is>
          <t>Pricing v2.5 — Plan Light</t>
        </is>
      </c>
    </row>
    <row r="47">
      <c r="A47" s="17" t="inlineStr">
        <is>
          <t>Fee Base — Mediano</t>
        </is>
      </c>
      <c r="B47" s="742" t="n">
        <v>25</v>
      </c>
      <c r="C47" s="290" t="inlineStr">
        <is>
          <t>Pricing v2.5 — Plan Standard</t>
        </is>
      </c>
    </row>
    <row r="48">
      <c r="A48" s="17" t="inlineStr">
        <is>
          <t>Fee Base — Grande</t>
        </is>
      </c>
      <c r="B48" s="742" t="n">
        <v>45</v>
      </c>
      <c r="C48" s="290" t="inlineStr">
        <is>
          <t>Pricing v2.5 — Plan Premium</t>
        </is>
      </c>
    </row>
    <row r="49">
      <c r="A49" s="74" t="inlineStr">
        <is>
          <t>— Meseros Típicos por Segmento —</t>
        </is>
      </c>
      <c r="B49" s="735" t="n"/>
      <c r="C49" s="8" t="n"/>
    </row>
    <row r="50">
      <c r="A50" s="17" t="inlineStr">
        <is>
          <t>Meseros típicos — Pequeño</t>
        </is>
      </c>
      <c r="B50" s="49" t="n">
        <v>5</v>
      </c>
      <c r="C50" s="290" t="inlineStr">
        <is>
          <t>Mínimo 5 meseros por restaurante</t>
        </is>
      </c>
    </row>
    <row r="51">
      <c r="A51" s="17" t="inlineStr">
        <is>
          <t>Meseros típicos — Mediano</t>
        </is>
      </c>
      <c r="B51" s="49" t="n">
        <v>10</v>
      </c>
      <c r="C51" s="290" t="inlineStr">
        <is>
          <t>Rango 8-15 meseros</t>
        </is>
      </c>
    </row>
    <row r="52">
      <c r="A52" s="17" t="inlineStr">
        <is>
          <t>Meseros típicos — Grande</t>
        </is>
      </c>
      <c r="B52" s="49" t="n">
        <v>25</v>
      </c>
      <c r="C52" s="290" t="inlineStr">
        <is>
          <t>Rango 15-50+ meseros</t>
        </is>
      </c>
    </row>
    <row r="53">
      <c r="A53" s="74" t="inlineStr">
        <is>
          <t>— Métricas Calculadas (Ponderadas por Mix) —</t>
        </is>
      </c>
      <c r="B53" s="735" t="n"/>
      <c r="C53" s="8" t="n"/>
    </row>
    <row r="54">
      <c r="A54" s="25" t="inlineStr">
        <is>
          <t>ARPU Bruto ponderado (USD/mesero/mes)</t>
        </is>
      </c>
      <c r="B54" s="743">
        <f>B41*B46+B42*B47+B43*B48</f>
        <v/>
      </c>
      <c r="C54" s="290" t="inlineStr">
        <is>
          <t>Fee Base × Mix = ARPU antes de descuentos</t>
        </is>
      </c>
    </row>
    <row r="55">
      <c r="A55" s="25" t="inlineStr">
        <is>
          <t>% Descuento promedio ponderado</t>
        </is>
      </c>
      <c r="B55" s="736">
        <f>IF(B54=0,0,1-(B41*B46*(1-IF(B50&lt;=10,0,IF(B50&lt;=15,0.05,IF(B50&lt;=25,0.1,IF(B50&lt;=40,0.15,0.2)))))*(1-IF(B28&lt;1,0,IF(B28&lt;2,0.1,IF(B28&lt;3,0.2,IF(B28&lt;4,0.3,IF(B28&lt;5,0.4,0.5))))))+B42*B47*(1-IF(B51&lt;=10,0,IF(B51&lt;=15,0.05,IF(B51&lt;=25,0.1,IF(B51&lt;=40,0.15,0.2)))))*(1-IF(B28&lt;1,0,IF(B28&lt;2,0.1,IF(B28&lt;3,0.2,IF(B28&lt;4,0.3,IF(B28&lt;5,0.4,0.5))))))+B43*B48*(1-IF(B52&lt;=10,0,IF(B52&lt;=15,0.05,IF(B52&lt;=25,0.1,IF(B52&lt;=40,0.15,0.2)))))*(1-IF(B28&lt;1,0,IF(B28&lt;2,0.1,IF(B28&lt;3,0.2,IF(B28&lt;4,0.3,IF(B28&lt;5,0.4,0.5)))))))/B54)</f>
        <v/>
      </c>
      <c r="C55" s="290" t="inlineStr">
        <is>
          <t>Basado en desc. vol. meseros + desc. marcas (Pricing v2.5)</t>
        </is>
      </c>
    </row>
    <row r="56">
      <c r="A56" s="30" t="inlineStr">
        <is>
          <t>ARPU Neto ponderado (USD/mesero/mes)</t>
        </is>
      </c>
      <c r="B56" s="744">
        <f>B54*(1-B55)</f>
        <v/>
      </c>
      <c r="C56" s="500" t="inlineStr">
        <is>
          <t>← Este valor reemplaza el ARPU flat en el modelo</t>
        </is>
      </c>
    </row>
    <row r="57">
      <c r="A57" s="25" t="inlineStr">
        <is>
          <t>Meseros ponderados por restaurante</t>
        </is>
      </c>
      <c r="B57" s="745">
        <f>B41*B50+B42*B51+B43*B52</f>
        <v/>
      </c>
      <c r="C57" s="502" t="inlineStr">
        <is>
          <t>Meseros típicos × Mix = promedio ponderado</t>
        </is>
      </c>
    </row>
    <row r="58">
      <c r="A58" s="74" t="inlineStr">
        <is>
          <t>— Fee de Upgrade de Plan —</t>
        </is>
      </c>
      <c r="B58" s="744" t="n"/>
      <c r="C58" s="500" t="n"/>
    </row>
    <row r="59">
      <c r="A59" s="35" t="inlineStr">
        <is>
          <t>% restaurantes que hacen upgrade</t>
        </is>
      </c>
      <c r="B59" s="364">
        <f>CHOOSE(Escenarios!$B$4,Escenarios!$D$31,Escenarios!$E$31,Escenarios!$F$31)</f>
        <v/>
      </c>
      <c r="C59" s="502" t="inlineStr">
        <is>
          <t>Restaurantes que pagan upgrade a plan superior</t>
        </is>
      </c>
      <c r="D59" s="292">
        <f>HYPERLINK("#Escenarios!D31","→ Modificar en Escenarios!D31:F31")</f>
        <v/>
      </c>
    </row>
    <row r="60">
      <c r="A60" s="35" t="inlineStr">
        <is>
          <t>Fee Upgrade promedio (USD/rest/mes)</t>
        </is>
      </c>
      <c r="B60" s="742" t="n">
        <v>50</v>
      </c>
      <c r="C60" s="502" t="inlineStr">
        <is>
          <t>~$200K COP ÷ TRM 4,000 ≈ $50 USD promedio</t>
        </is>
      </c>
    </row>
    <row r="61">
      <c r="A61" s="30" t="n"/>
      <c r="B61" s="744" t="n"/>
      <c r="C61" s="500" t="n"/>
    </row>
    <row r="62">
      <c r="A62" s="22" t="inlineStr">
        <is>
          <t>COSTOS DIRECTOS</t>
        </is>
      </c>
      <c r="B62" s="23" t="inlineStr">
        <is>
          <t>Valor</t>
        </is>
      </c>
      <c r="C62" s="73" t="inlineStr">
        <is>
          <t>Notas</t>
        </is>
      </c>
    </row>
    <row r="63">
      <c r="A63" s="74" t="inlineStr">
        <is>
          <t>— Provisión Errores y Fraudes —</t>
        </is>
      </c>
      <c r="B63" s="23" t="n"/>
      <c r="C63" s="82" t="n"/>
    </row>
    <row r="64">
      <c r="A64" s="35" t="inlineStr">
        <is>
          <t>Provisión errores humanos (% Super Monedas)</t>
        </is>
      </c>
      <c r="B64" s="746" t="n">
        <v>0.015</v>
      </c>
      <c r="C64" s="206" t="inlineStr">
        <is>
          <t>Asignación manual incorrecta de Super Monedas</t>
        </is>
      </c>
    </row>
    <row r="65">
      <c r="A65" s="35" t="inlineStr">
        <is>
          <t>Provisión fraude (% Super Monedas)</t>
        </is>
      </c>
      <c r="B65" s="746" t="n">
        <v>0.01</v>
      </c>
      <c r="C65" s="206" t="inlineStr">
        <is>
          <t>Hackeo POS, evidencia falsa de ventas</t>
        </is>
      </c>
    </row>
    <row r="66">
      <c r="A66" s="25" t="inlineStr">
        <is>
          <t>Total provisión errores + fraude (%)</t>
        </is>
      </c>
      <c r="B66" s="736">
        <f>B64+B65</f>
        <v/>
      </c>
      <c r="C66" s="206" t="inlineStr">
        <is>
          <t>Sobre total Super Monedas transaccionadas (bruto)</t>
        </is>
      </c>
      <c r="D66" s="228">
        <f>HYPERLINK("#'Supuestos Generales'!B41","→ Modificar B41 y B42")</f>
        <v/>
      </c>
    </row>
    <row r="67">
      <c r="A67" s="22" t="n"/>
      <c r="B67" s="23" t="n"/>
      <c r="C67" s="73" t="n"/>
    </row>
    <row r="68">
      <c r="A68" s="74" t="inlineStr">
        <is>
          <t>— Costos Variables —</t>
        </is>
      </c>
      <c r="B68" s="79" t="n"/>
      <c r="C68" s="80" t="n"/>
    </row>
    <row r="69">
      <c r="A69" s="6" t="inlineStr">
        <is>
          <t>Incentivos / premios por mesero activo</t>
        </is>
      </c>
      <c r="B69" s="747" t="n">
        <v>3</v>
      </c>
      <c r="C69" s="8" t="inlineStr">
        <is>
          <t>Gamificación y premios mensuales</t>
        </is>
      </c>
    </row>
    <row r="70">
      <c r="A70" s="6" t="inlineStr">
        <is>
          <t>Costo de redención Super Monedas (% del valor redimido)</t>
        </is>
      </c>
      <c r="B70" s="223">
        <f>1-B35</f>
        <v/>
      </c>
      <c r="C70" s="8" t="inlineStr">
        <is>
          <t>Complemento del margen (1 − 20% = 80% va a proveedores de premios)</t>
        </is>
      </c>
      <c r="D70" s="228">
        <f>HYPERLINK("#'Supuestos Generales'!B35","→ Modificar B35 (Margen redención)")</f>
        <v/>
      </c>
    </row>
    <row r="71">
      <c r="A71" s="6" t="inlineStr">
        <is>
          <t>Infraestructura por mesero activo (hosting)</t>
        </is>
      </c>
      <c r="B71" s="747" t="n">
        <v>0.5</v>
      </c>
      <c r="C71" s="8" t="inlineStr">
        <is>
          <t>Servidores, licencias, cloud</t>
        </is>
      </c>
    </row>
    <row r="72">
      <c r="A72" s="6" t="inlineStr">
        <is>
          <t>Soporte por restaurante activo</t>
        </is>
      </c>
      <c r="B72" s="743">
        <f>CHOOSE(Escenarios!$B$4,Escenarios!$D$36,Escenarios!$E$36,Escenarios!$F$36)</f>
        <v/>
      </c>
      <c r="C72" s="8" t="inlineStr">
        <is>
          <t>Costo de soporte técnico por restaurante activo</t>
        </is>
      </c>
      <c r="D72" s="228">
        <f>HYPERLINK("#Escenarios!D25","→ Modificar en Escenarios!D25:F25")</f>
        <v/>
      </c>
    </row>
    <row r="73">
      <c r="A73" s="6" t="inlineStr">
        <is>
          <t>Restaurantes por Agente de CS</t>
        </is>
      </c>
      <c r="B73" s="16">
        <f>CHOOSE(Escenarios!$B$4,Escenarios!$D$38,Escenarios!$E$38,Escenarios!$F$38)</f>
        <v/>
      </c>
      <c r="C73" s="8" t="inlineStr">
        <is>
          <t>Número de restaurantes que soporta 1 agente CS</t>
        </is>
      </c>
    </row>
    <row r="74">
      <c r="A74" s="17" t="inlineStr">
        <is>
          <t>Costo por Agente de CS (USD/mes)</t>
        </is>
      </c>
      <c r="B74" s="49" t="n">
        <v>1000</v>
      </c>
      <c r="C74" s="19" t="inlineStr">
        <is>
          <t>Salario mensual agente CS</t>
        </is>
      </c>
    </row>
    <row r="75">
      <c r="A75" s="74" t="inlineStr">
        <is>
          <t>— Engagement y Promoción —</t>
        </is>
      </c>
      <c r="B75" s="81" t="n"/>
      <c r="C75" s="82" t="n"/>
    </row>
    <row r="76">
      <c r="A76" s="74" t="inlineStr">
        <is>
          <t>— COMUNICACIONES DIGITALES —</t>
        </is>
      </c>
      <c r="B76" s="75" t="n"/>
      <c r="C76" s="76" t="n"/>
    </row>
    <row r="77">
      <c r="A77" s="17" t="inlineStr">
        <is>
          <t>Costo comunicaciones por mesero activo (USD/mes)</t>
        </is>
      </c>
      <c r="B77" s="748" t="n">
        <v>1</v>
      </c>
      <c r="C77" s="19" t="inlineStr">
        <is>
          <t>WhatsApp diario ($0.90) + Email semanal + SMS + Push ≈ $1.00</t>
        </is>
      </c>
    </row>
    <row r="78">
      <c r="A78" s="74" t="inlineStr">
        <is>
          <t>— ENGAGEMENT MANAGERS PRESENCIALES —</t>
        </is>
      </c>
      <c r="B78" s="75" t="n"/>
      <c r="C78" s="76" t="n"/>
    </row>
    <row r="79">
      <c r="A79" s="17" t="inlineStr">
        <is>
          <t>Salario Engagement Manager (USD/mes)</t>
        </is>
      </c>
      <c r="B79" s="742" t="n">
        <v>1000</v>
      </c>
      <c r="C79" s="19" t="inlineStr">
        <is>
          <t>Salario base EM presencial (LATAM)</t>
        </is>
      </c>
    </row>
    <row r="80">
      <c r="A80" s="17" t="inlineStr">
        <is>
          <t>Viáticos y transporte por EM (USD/mes)</t>
        </is>
      </c>
      <c r="B80" s="742" t="n">
        <v>750</v>
      </c>
      <c r="C80" s="19" t="inlineStr">
        <is>
          <t>Incluye viajes a otras ciudades</t>
        </is>
      </c>
    </row>
    <row r="81">
      <c r="A81" s="25" t="inlineStr">
        <is>
          <t>Total por Engagement Manager (USD/mes)</t>
        </is>
      </c>
      <c r="B81" s="737">
        <f>B79+B80</f>
        <v/>
      </c>
      <c r="C81" s="19" t="inlineStr">
        <is>
          <t>Salario + viáticos</t>
        </is>
      </c>
      <c r="D81" s="228">
        <f>HYPERLINK("#'Supuestos Generales'!B56","→ Modificar B56 y B57")</f>
        <v/>
      </c>
    </row>
    <row r="82">
      <c r="A82" s="17" t="inlineStr">
        <is>
          <t>Restaurantes por Engagement Manager</t>
        </is>
      </c>
      <c r="B82" s="18">
        <f>CHOOSE(Escenarios!$B$4,Escenarios!$D$37,Escenarios!$E$37,Escenarios!$F$37)</f>
        <v/>
      </c>
      <c r="C82" s="19" t="inlineStr">
        <is>
          <t>1 EM por cada 50 restaurantes activos</t>
        </is>
      </c>
    </row>
    <row r="83">
      <c r="A83" s="74" t="inlineStr">
        <is>
          <t>— GALA ANUAL DE SUPER MESEROS —</t>
        </is>
      </c>
      <c r="B83" s="75" t="n"/>
      <c r="C83" s="76" t="n"/>
    </row>
    <row r="84">
      <c r="A84" s="17" t="inlineStr">
        <is>
          <t>Costo total Gala anual (USD)</t>
        </is>
      </c>
      <c r="B84" s="742" t="n">
        <v>20000</v>
      </c>
      <c r="C84" s="19" t="inlineStr">
        <is>
          <t>Venue, producción, premios, catering, marketing, viajes</t>
        </is>
      </c>
    </row>
    <row r="85">
      <c r="A85" s="25" t="inlineStr">
        <is>
          <t>Costo Gala mensualizado (USD/mes)</t>
        </is>
      </c>
      <c r="B85" s="737">
        <f>ROUND(B84/12,0)</f>
        <v/>
      </c>
      <c r="C85" s="19" t="inlineStr">
        <is>
          <t>Prorrateado mensual; +10% anual a partir del año 2</t>
        </is>
      </c>
      <c r="D85" s="228">
        <f>HYPERLINK("#'Supuestos Generales'!B61","→ Modificar B61 (Costo Gala anual)")</f>
        <v/>
      </c>
    </row>
    <row r="86">
      <c r="A86" s="17" t="inlineStr">
        <is>
          <t>Plataforma SaaS de comunicaciones (USD/mes)</t>
        </is>
      </c>
      <c r="B86" s="742" t="n">
        <v>200</v>
      </c>
      <c r="C86" s="19" t="inlineStr">
        <is>
          <t>OneSignal / Brevo / similar (push + email + WhatsApp API)</t>
        </is>
      </c>
    </row>
    <row r="87">
      <c r="A87" s="4" t="inlineStr">
        <is>
          <t>CAC Y GO-TO-MARKET</t>
        </is>
      </c>
      <c r="B87" s="5" t="inlineStr">
        <is>
          <t>Valor</t>
        </is>
      </c>
      <c r="C87" s="10" t="inlineStr">
        <is>
          <t>Notas</t>
        </is>
      </c>
    </row>
    <row r="88">
      <c r="A88" s="6" t="inlineStr">
        <is>
          <t>CAC directo - Sin palancas (USD)</t>
        </is>
      </c>
      <c r="B88" s="734" t="n">
        <v>100</v>
      </c>
      <c r="C88" s="8" t="inlineStr">
        <is>
          <t>Venta directa sin convenios</t>
        </is>
      </c>
    </row>
    <row r="89">
      <c r="A89" s="6" t="inlineStr">
        <is>
          <t>CAC directo - Con palancas (USD)</t>
        </is>
      </c>
      <c r="B89" s="734" t="n">
        <v>50</v>
      </c>
      <c r="C89" s="8" t="inlineStr">
        <is>
          <t>Convenios Coca-Cola / ACODRES</t>
        </is>
      </c>
    </row>
    <row r="90">
      <c r="A90" s="6" t="inlineStr">
        <is>
          <t>Meseros afiliados por mesero gratis (ratio)</t>
        </is>
      </c>
      <c r="B90" s="78" t="n">
        <v>5</v>
      </c>
      <c r="C90" s="8" t="inlineStr">
        <is>
          <t>1 mesero gratis por cada 5 meseros afiliados vía referidos</t>
        </is>
      </c>
    </row>
    <row r="91">
      <c r="A91" s="6" t="inlineStr">
        <is>
          <t>Referidos por restaurante adquirido</t>
        </is>
      </c>
      <c r="B91" s="7" t="n">
        <v>2</v>
      </c>
      <c r="C91" s="8" t="inlineStr">
        <is>
          <t>1 llega al mes siguiente, el otro al mes subsiguiente</t>
        </is>
      </c>
    </row>
    <row r="92">
      <c r="A92" s="17" t="inlineStr">
        <is>
          <t>Costo mesero gratis (USD/mes)</t>
        </is>
      </c>
      <c r="B92" s="225">
        <f>B26</f>
        <v/>
      </c>
      <c r="C92" s="19" t="inlineStr">
        <is>
          <t>ARPU restaurante/mesero (revenue foregone)</t>
        </is>
      </c>
      <c r="D92" s="228">
        <f>HYPERLINK("#Escenarios!D18","→ Modificar en Escenarios!D18:F18 (ARPU)")</f>
        <v/>
      </c>
    </row>
    <row r="93">
      <c r="A93" s="17" t="inlineStr">
        <is>
          <t>Duración beneficio mesero gratis (meses)</t>
        </is>
      </c>
      <c r="B93" s="18" t="n">
        <v>12</v>
      </c>
      <c r="C93" s="19" t="inlineStr">
        <is>
          <t>Máximo 12 meses por mesero gratis otorgado</t>
        </is>
      </c>
    </row>
    <row r="94">
      <c r="A94" s="17" t="inlineStr">
        <is>
          <t>Escenario activo</t>
        </is>
      </c>
      <c r="B94" s="18" t="n">
        <v>1</v>
      </c>
      <c r="C94" s="19" t="inlineStr">
        <is>
          <t>1 = Sin palancas, 2 = Con palancas</t>
        </is>
      </c>
    </row>
    <row r="95">
      <c r="A95" s="74" t="inlineStr">
        <is>
          <t>— Mix de Canales de Adquisición —</t>
        </is>
      </c>
      <c r="B95" s="18" t="n"/>
      <c r="C95" s="76" t="n"/>
    </row>
    <row r="96">
      <c r="A96" s="17" t="inlineStr">
        <is>
          <t>% restaurantes vía vendedores propios</t>
        </is>
      </c>
      <c r="B96" s="204" t="n">
        <v>0.4</v>
      </c>
      <c r="C96" s="19" t="inlineStr">
        <is>
          <t>Del total de restaurantes nuevos directos</t>
        </is>
      </c>
    </row>
    <row r="97">
      <c r="A97" s="17" t="inlineStr">
        <is>
          <t>% restaurantes vía vendedores externos</t>
        </is>
      </c>
      <c r="B97" s="204" t="n">
        <v>0.2</v>
      </c>
      <c r="C97" s="19" t="inlineStr">
        <is>
          <t>Vendedores freelance / independientes</t>
        </is>
      </c>
    </row>
    <row r="98">
      <c r="A98" s="17" t="inlineStr">
        <is>
          <t>% restaurantes vía aliados estratégicos</t>
        </is>
      </c>
      <c r="B98" s="204" t="n">
        <v>0.15</v>
      </c>
      <c r="C98" s="19" t="inlineStr">
        <is>
          <t>ACODRES, asociaciones de restaurantes</t>
        </is>
      </c>
    </row>
    <row r="99">
      <c r="A99" s="17" t="inlineStr">
        <is>
          <t>% restaurantes vía Partners POS</t>
        </is>
      </c>
      <c r="B99" s="204" t="n">
        <v>0.25</v>
      </c>
      <c r="C99" s="19" t="inlineStr">
        <is>
          <t>Programa de Partners exclusivo para desarrolladores POS</t>
        </is>
      </c>
    </row>
    <row r="100">
      <c r="A100" s="32" t="inlineStr">
        <is>
          <t>Verificación mix canales</t>
        </is>
      </c>
      <c r="B100" s="226">
        <f>SUM(B96:B99)</f>
        <v/>
      </c>
      <c r="C100" s="227">
        <f>IF(B100=1,"✓ Suma 100%","✗ No suma 100%")</f>
        <v/>
      </c>
      <c r="D100" s="228">
        <f>HYPERLINK("#'Supuestos Generales'!B73","→ Modificar B73:B76 (mix canales)")</f>
        <v/>
      </c>
    </row>
    <row r="101">
      <c r="A101" s="74" t="inlineStr">
        <is>
          <t>— Comisiones sobre SetUp Fee —</t>
        </is>
      </c>
      <c r="B101" s="18" t="n"/>
      <c r="C101" s="76" t="n"/>
    </row>
    <row r="102">
      <c r="A102" s="17" t="inlineStr">
        <is>
          <t>Comisión SetUp - Vendedores propios (%)</t>
        </is>
      </c>
      <c r="B102" s="746" t="n">
        <v>0.05</v>
      </c>
      <c r="C102" s="19" t="inlineStr">
        <is>
          <t>5% del SetUp Fee por restaurante vendido</t>
        </is>
      </c>
    </row>
    <row r="103">
      <c r="A103" s="17" t="inlineStr">
        <is>
          <t>Comisión SetUp - Vendedores externos (%)</t>
        </is>
      </c>
      <c r="B103" s="746" t="n">
        <v>0.15</v>
      </c>
      <c r="C103" s="19" t="inlineStr">
        <is>
          <t>15% — Mayor incentivo (sin salario base)</t>
        </is>
      </c>
    </row>
    <row r="104">
      <c r="A104" s="17" t="inlineStr">
        <is>
          <t>Comisión SetUp - Aliados estratégicos (%)</t>
        </is>
      </c>
      <c r="B104" s="746" t="n">
        <v>0.08</v>
      </c>
      <c r="C104" s="19" t="inlineStr">
        <is>
          <t>8% — Referral fee para ACODRES y similares</t>
        </is>
      </c>
    </row>
    <row r="105">
      <c r="A105" s="17" t="inlineStr">
        <is>
          <t>Comisión SetUp - Partners POS (%)</t>
        </is>
      </c>
      <c r="B105" s="746" t="n">
        <v>0.12</v>
      </c>
      <c r="C105" s="19" t="inlineStr">
        <is>
          <t>12% — Integración técnica + volumen potencial</t>
        </is>
      </c>
    </row>
    <row r="106">
      <c r="A106" s="74" t="inlineStr">
        <is>
          <t>— Comisiones sobre Fees Mensuales (1er año) —</t>
        </is>
      </c>
      <c r="B106" s="18" t="n"/>
      <c r="C106" s="76" t="n"/>
    </row>
    <row r="107">
      <c r="A107" s="17" t="inlineStr">
        <is>
          <t>Comisión Fees 1er año - Vendedores propios (%)</t>
        </is>
      </c>
      <c r="B107" s="746" t="n">
        <v>0.03</v>
      </c>
      <c r="C107" s="19" t="inlineStr">
        <is>
          <t>3% de fees mensuales durante 12 meses</t>
        </is>
      </c>
    </row>
    <row r="108">
      <c r="A108" s="17" t="inlineStr">
        <is>
          <t>Comisión Fees 1er año - Vendedores externos (%)</t>
        </is>
      </c>
      <c r="B108" s="746" t="n">
        <v>0.15</v>
      </c>
      <c r="C108" s="19" t="inlineStr">
        <is>
          <t>15% — Incentivo agresivo sin salario fijo</t>
        </is>
      </c>
    </row>
    <row r="109">
      <c r="A109" s="17" t="inlineStr">
        <is>
          <t>Comisión Fees 1er año - Aliados estratégicos (%)</t>
        </is>
      </c>
      <c r="B109" s="746" t="n">
        <v>0.08</v>
      </c>
      <c r="C109" s="19" t="inlineStr">
        <is>
          <t>8% — Referral fee mensual por 12 meses</t>
        </is>
      </c>
    </row>
    <row r="110">
      <c r="A110" s="17" t="inlineStr">
        <is>
          <t>Comisión Fees 1er año - Partners POS (%)</t>
        </is>
      </c>
      <c r="B110" s="746" t="n">
        <v>0.12</v>
      </c>
      <c r="C110" s="19" t="inlineStr">
        <is>
          <t>12% — Fee recurrente por cliente activo</t>
        </is>
      </c>
    </row>
    <row r="111">
      <c r="A111" s="17" t="inlineStr">
        <is>
          <t>Duración comisión sobre fees (meses)</t>
        </is>
      </c>
      <c r="B111" s="18" t="n">
        <v>12</v>
      </c>
      <c r="C111" s="19" t="inlineStr">
        <is>
          <t>Comisión se paga por 12 meses desde onboarding</t>
        </is>
      </c>
    </row>
    <row r="112">
      <c r="A112" s="74" t="inlineStr">
        <is>
          <t>— Presupuesto Publicidad y Marketing —</t>
        </is>
      </c>
      <c r="B112" s="18" t="n"/>
      <c r="C112" s="76" t="n"/>
    </row>
    <row r="113">
      <c r="A113" s="17" t="inlineStr">
        <is>
          <t>% de ingresos destinado a publicidad</t>
        </is>
      </c>
      <c r="B113" s="204" t="n">
        <v>0.05</v>
      </c>
      <c r="C113" s="19" t="inlineStr">
        <is>
          <t>Pauta digital, eventos, ferias gastronómicas, contenido patrocinado</t>
        </is>
      </c>
    </row>
    <row r="114">
      <c r="A114" s="17" t="inlineStr">
        <is>
          <t>Mes de inicio publicidad</t>
        </is>
      </c>
      <c r="B114" s="18" t="n">
        <v>13</v>
      </c>
      <c r="C114" s="19" t="inlineStr">
        <is>
          <t>A partir del año 2 (mes 13)</t>
        </is>
      </c>
    </row>
    <row r="115">
      <c r="A115" s="17" t="n"/>
      <c r="B115" s="18" t="n"/>
      <c r="C115" s="19" t="n"/>
    </row>
    <row r="116">
      <c r="A116" s="17" t="n"/>
      <c r="B116" s="18" t="n"/>
      <c r="C116" s="19" t="n"/>
    </row>
    <row r="117">
      <c r="A117" s="4" t="inlineStr">
        <is>
          <t>OPEX - COSTOS FIJOS MENSUALES</t>
        </is>
      </c>
      <c r="B117" s="5" t="inlineStr">
        <is>
          <t>Valor</t>
        </is>
      </c>
      <c r="C117" s="10" t="inlineStr">
        <is>
          <t>Notas</t>
        </is>
      </c>
    </row>
    <row r="118">
      <c r="A118" s="6" t="inlineStr">
        <is>
          <t>Equipo Producto (devs, diseño)</t>
        </is>
      </c>
      <c r="B118" s="737">
        <f>D135</f>
        <v/>
      </c>
      <c r="C118" s="8" t="inlineStr">
        <is>
          <t>Salarios mensuales equipo tech</t>
        </is>
      </c>
      <c r="D118" s="228">
        <f>HYPERLINK("#'Supuestos Generales'!B107","→ Modificar en Detalle OPEX fila 107-108")</f>
        <v/>
      </c>
    </row>
    <row r="119">
      <c r="A119" s="17" t="inlineStr">
        <is>
          <t>Equipo Analítica</t>
        </is>
      </c>
      <c r="B119" s="737">
        <f>D140</f>
        <v/>
      </c>
      <c r="C119" s="19" t="inlineStr">
        <is>
          <t>Data Analyst + Data Engineer</t>
        </is>
      </c>
      <c r="D119" s="228">
        <f>HYPERLINK("#'Supuestos Generales'!B112","→ Modificar en Detalle OPEX fila 112-113")</f>
        <v/>
      </c>
    </row>
    <row r="120">
      <c r="A120" s="6" t="inlineStr">
        <is>
          <t>Equipo Operaciones</t>
        </is>
      </c>
      <c r="B120" s="737">
        <f>D144</f>
        <v/>
      </c>
      <c r="C120" s="8" t="inlineStr">
        <is>
          <t>Coordinación de operaciones</t>
        </is>
      </c>
      <c r="D120" s="228">
        <f>HYPERLINK("#'Supuestos Generales'!B117","→ Modificar en Detalle OPEX fila 117")</f>
        <v/>
      </c>
    </row>
    <row r="121">
      <c r="A121" s="6" t="inlineStr">
        <is>
          <t>Equipo Ventas</t>
        </is>
      </c>
      <c r="B121" s="737">
        <f>D148</f>
        <v/>
      </c>
      <c r="C121" s="8" t="inlineStr">
        <is>
          <t>Ejecutivos comerciales</t>
        </is>
      </c>
      <c r="D121" s="228">
        <f>HYPERLINK("#'Supuestos Generales'!B121","→ Modificar en Detalle OPEX fila 121")</f>
        <v/>
      </c>
    </row>
    <row r="122">
      <c r="A122" s="6" t="inlineStr">
        <is>
          <t>Administración y Legal</t>
        </is>
      </c>
      <c r="B122" s="737">
        <f>D152</f>
        <v/>
      </c>
      <c r="C122" s="8" t="inlineStr">
        <is>
          <t>Contabilidad, legal, admin</t>
        </is>
      </c>
      <c r="D122" s="228">
        <f>HYPERLINK("#'Supuestos Generales'!C124","→ Modificar en Detalle OPEX fila 124-125")</f>
        <v/>
      </c>
    </row>
    <row r="123">
      <c r="A123" s="6" t="inlineStr">
        <is>
          <t>Marketing base</t>
        </is>
      </c>
      <c r="B123" s="737">
        <f>D157</f>
        <v/>
      </c>
      <c r="C123" s="8" t="inlineStr">
        <is>
          <t>Branding, contenido, PR</t>
        </is>
      </c>
      <c r="D123" s="228">
        <f>HYPERLINK("#'Supuestos Generales'!C129","→ Modificar en Detalle OPEX fila 129-130")</f>
        <v/>
      </c>
    </row>
    <row r="124">
      <c r="A124" s="6" t="inlineStr">
        <is>
          <t>Otros gastos fijos</t>
        </is>
      </c>
      <c r="B124" s="737">
        <f>D163</f>
        <v/>
      </c>
      <c r="C124" s="8" t="inlineStr">
        <is>
          <t>Oficina, herramientas, seguros</t>
        </is>
      </c>
      <c r="D124" s="228">
        <f>HYPERLINK("#'Supuestos Generales'!C134","→ Modificar en Detalle OPEX fila 134-136")</f>
        <v/>
      </c>
    </row>
    <row r="125">
      <c r="A125" s="289" t="inlineStr">
        <is>
          <t>Gerente General</t>
        </is>
      </c>
      <c r="B125" s="225" t="inlineStr">
        <is>
          <t>Variable</t>
        </is>
      </c>
      <c r="C125" s="290" t="inlineStr">
        <is>
          <t>$3K base + $1K/100 rest. Tope $15K/mes</t>
        </is>
      </c>
      <c r="D125" s="251" t="inlineStr">
        <is>
          <t>→ Fórmula en hoja OPEX fila 13</t>
        </is>
      </c>
    </row>
    <row r="126">
      <c r="A126" s="289" t="inlineStr">
        <is>
          <t>Licencia Superlikers</t>
        </is>
      </c>
      <c r="B126" s="18" t="n">
        <v>5000</v>
      </c>
      <c r="C126" s="290" t="inlineStr">
        <is>
          <t>Monto fijo mensual licencia plataforma Superlikers</t>
        </is>
      </c>
    </row>
    <row r="127">
      <c r="A127" s="289" t="inlineStr">
        <is>
          <t>Factor escala OPEX fijo</t>
        </is>
      </c>
      <c r="B127" s="225">
        <f>CHOOSE(Escenarios!$B$4,Escenarios!$D$34,Escenarios!$E$34,Escenarios!$F$34)</f>
        <v/>
      </c>
      <c r="C127" s="290" t="inlineStr">
        <is>
          <t>Multiplica OPEX fijo base por escenario (Pes=0.46, Base=1, Opt=2)</t>
        </is>
      </c>
      <c r="D127" s="292">
        <f>HYPERLINK("#Escenarios!D23","→ Modificar en Escenarios!D23:F23")</f>
        <v/>
      </c>
    </row>
    <row r="128">
      <c r="A128" s="6" t="inlineStr">
        <is>
          <t>Crecimiento semestral OPEX (%)</t>
        </is>
      </c>
      <c r="B128" s="736">
        <f>CHOOSE(Escenarios!$B$4,Escenarios!$D$35,Escenarios!$E$35,Escenarios!$F$35)</f>
        <v/>
      </c>
      <c r="C128" s="8" t="inlineStr">
        <is>
          <t>Step-up cada 6 meses (contrataciones)</t>
        </is>
      </c>
      <c r="D128" s="228">
        <f>HYPERLINK("#Escenarios!D24","→ Modificar en Escenarios!D24:F24")</f>
        <v/>
      </c>
    </row>
    <row r="130" ht="19" customHeight="1">
      <c r="A130" s="21" t="inlineStr">
        <is>
          <t>DETALLE OPEX</t>
        </is>
      </c>
      <c r="B130" s="2" t="n"/>
      <c r="C130" s="2" t="n"/>
    </row>
    <row r="132">
      <c r="A132" s="22" t="inlineStr">
        <is>
          <t>EQUIPO PRODUCTO</t>
        </is>
      </c>
      <c r="B132" s="23" t="inlineStr">
        <is>
          <t>Cantidad</t>
        </is>
      </c>
      <c r="C132" s="23" t="inlineStr">
        <is>
          <t>Costo Unitario</t>
        </is>
      </c>
      <c r="D132" s="23" t="inlineStr">
        <is>
          <t>Subtotal</t>
        </is>
      </c>
    </row>
    <row r="133">
      <c r="A133" s="17" t="inlineStr">
        <is>
          <t>Desarrollador Full-Stack</t>
        </is>
      </c>
      <c r="B133" s="18" t="n">
        <v>2</v>
      </c>
      <c r="C133" s="742" t="n">
        <v>4500</v>
      </c>
      <c r="D133" s="749">
        <f>B133*C133</f>
        <v/>
      </c>
    </row>
    <row r="134">
      <c r="A134" s="17" t="inlineStr">
        <is>
          <t>Diseñador UI/UX</t>
        </is>
      </c>
      <c r="B134" s="18" t="n">
        <v>1</v>
      </c>
      <c r="C134" s="742" t="n">
        <v>3000</v>
      </c>
      <c r="D134" s="749">
        <f>B134*C134</f>
        <v/>
      </c>
    </row>
    <row r="135">
      <c r="A135" s="25" t="inlineStr">
        <is>
          <t>Total Equipo Producto</t>
        </is>
      </c>
      <c r="D135" s="750">
        <f>SUM(D133:D134)</f>
        <v/>
      </c>
    </row>
    <row r="136">
      <c r="A136" s="27" t="n"/>
      <c r="B136" s="27" t="n"/>
      <c r="C136" s="27" t="n"/>
      <c r="D136" s="27" t="n"/>
    </row>
    <row r="137">
      <c r="A137" s="22" t="inlineStr">
        <is>
          <t>EQUIPO ANALÍTICA</t>
        </is>
      </c>
      <c r="B137" s="23" t="inlineStr">
        <is>
          <t>Cantidad</t>
        </is>
      </c>
      <c r="C137" s="23" t="inlineStr">
        <is>
          <t>Costo Unitario</t>
        </is>
      </c>
      <c r="D137" s="23" t="inlineStr">
        <is>
          <t>Subtotal</t>
        </is>
      </c>
    </row>
    <row r="138">
      <c r="A138" s="17" t="inlineStr">
        <is>
          <t>Data Analyst</t>
        </is>
      </c>
      <c r="B138" s="18" t="n">
        <v>1</v>
      </c>
      <c r="C138" s="742" t="n">
        <v>1500</v>
      </c>
      <c r="D138" s="749">
        <f>B138*C138</f>
        <v/>
      </c>
    </row>
    <row r="139">
      <c r="A139" s="17" t="inlineStr">
        <is>
          <t>Data Engineer</t>
        </is>
      </c>
      <c r="B139" s="18" t="n">
        <v>1</v>
      </c>
      <c r="C139" s="742" t="n">
        <v>3500</v>
      </c>
      <c r="D139" s="749">
        <f>B139*C139</f>
        <v/>
      </c>
    </row>
    <row r="140">
      <c r="A140" s="25" t="inlineStr">
        <is>
          <t>Total Equipo Analítica</t>
        </is>
      </c>
      <c r="D140" s="750">
        <f>SUM(D138:D139)</f>
        <v/>
      </c>
    </row>
    <row r="141">
      <c r="A141" s="27" t="n"/>
      <c r="B141" s="27" t="n"/>
      <c r="C141" s="27" t="n"/>
      <c r="D141" s="27" t="n"/>
    </row>
    <row r="142">
      <c r="A142" s="22" t="inlineStr">
        <is>
          <t>EQUIPO OPERACIONES</t>
        </is>
      </c>
      <c r="B142" s="23" t="inlineStr">
        <is>
          <t>Cantidad</t>
        </is>
      </c>
      <c r="C142" s="23" t="inlineStr">
        <is>
          <t>Costo Unitario</t>
        </is>
      </c>
      <c r="D142" s="23" t="inlineStr">
        <is>
          <t>Subtotal</t>
        </is>
      </c>
    </row>
    <row r="143">
      <c r="A143" s="17" t="inlineStr">
        <is>
          <t>Coordinador de Operaciones</t>
        </is>
      </c>
      <c r="B143" s="18" t="n">
        <v>1</v>
      </c>
      <c r="C143" s="742" t="n">
        <v>3000</v>
      </c>
      <c r="D143" s="749">
        <f>B143*C143</f>
        <v/>
      </c>
    </row>
    <row r="144">
      <c r="A144" s="25" t="inlineStr">
        <is>
          <t>Total Equipo Operaciones</t>
        </is>
      </c>
      <c r="D144" s="750">
        <f>D143</f>
        <v/>
      </c>
    </row>
    <row r="145">
      <c r="A145" s="27" t="n"/>
      <c r="B145" s="27" t="n"/>
      <c r="C145" s="27" t="n"/>
      <c r="D145" s="27" t="n"/>
    </row>
    <row r="146">
      <c r="A146" s="22" t="inlineStr">
        <is>
          <t>EQUIPO VENTAS</t>
        </is>
      </c>
      <c r="B146" s="23" t="inlineStr">
        <is>
          <t>Cantidad</t>
        </is>
      </c>
      <c r="C146" s="23" t="inlineStr">
        <is>
          <t>Costo Unitario</t>
        </is>
      </c>
      <c r="D146" s="23" t="inlineStr">
        <is>
          <t>Subtotal</t>
        </is>
      </c>
    </row>
    <row r="147">
      <c r="A147" s="17" t="inlineStr">
        <is>
          <t>Ejecutivo Comercial</t>
        </is>
      </c>
      <c r="B147" s="18" t="n">
        <v>2</v>
      </c>
      <c r="C147" s="742" t="n">
        <v>3000</v>
      </c>
      <c r="D147" s="749">
        <f>B147*C147</f>
        <v/>
      </c>
    </row>
    <row r="148">
      <c r="A148" s="25" t="inlineStr">
        <is>
          <t>Total Equipo Ventas</t>
        </is>
      </c>
      <c r="D148" s="750">
        <f>D147</f>
        <v/>
      </c>
    </row>
    <row r="149">
      <c r="A149" s="22" t="inlineStr">
        <is>
          <t>ADMINISTRACIÓN Y LEGAL</t>
        </is>
      </c>
      <c r="C149" s="23" t="inlineStr">
        <is>
          <t>Costo</t>
        </is>
      </c>
      <c r="D149" s="28" t="n"/>
    </row>
    <row r="150">
      <c r="A150" s="17" t="inlineStr">
        <is>
          <t>Contador / Financiero (outsourced)</t>
        </is>
      </c>
      <c r="C150" s="742" t="n">
        <v>1500</v>
      </c>
    </row>
    <row r="151">
      <c r="A151" s="17" t="inlineStr">
        <is>
          <t>Servicios legales mensuales</t>
        </is>
      </c>
      <c r="C151" s="742" t="n">
        <v>1500</v>
      </c>
    </row>
    <row r="152">
      <c r="A152" s="25" t="inlineStr">
        <is>
          <t>Total Administración y Legal</t>
        </is>
      </c>
      <c r="D152" s="750">
        <f>SUM(C150:C151)</f>
        <v/>
      </c>
    </row>
    <row r="153">
      <c r="A153" s="27" t="n"/>
      <c r="B153" s="27" t="n"/>
      <c r="C153" s="27" t="n"/>
      <c r="D153" s="27" t="n"/>
    </row>
    <row r="154">
      <c r="A154" s="22" t="inlineStr">
        <is>
          <t>MARKETING BASE</t>
        </is>
      </c>
      <c r="C154" s="23" t="inlineStr">
        <is>
          <t>Costo</t>
        </is>
      </c>
      <c r="D154" s="28" t="n"/>
    </row>
    <row r="155">
      <c r="A155" s="17" t="inlineStr">
        <is>
          <t>Contenido y branding</t>
        </is>
      </c>
      <c r="C155" s="742" t="n">
        <v>1200</v>
      </c>
    </row>
    <row r="156">
      <c r="A156" s="17" t="inlineStr">
        <is>
          <t>PR y comunidad</t>
        </is>
      </c>
      <c r="C156" s="742" t="n">
        <v>800</v>
      </c>
    </row>
    <row r="157">
      <c r="A157" s="25" t="inlineStr">
        <is>
          <t>Total Marketing Base</t>
        </is>
      </c>
      <c r="D157" s="750">
        <f>SUM(C155:C156)</f>
        <v/>
      </c>
    </row>
    <row r="158">
      <c r="A158" s="27" t="n"/>
      <c r="B158" s="27" t="n"/>
      <c r="C158" s="27" t="n"/>
      <c r="D158" s="27" t="n"/>
    </row>
    <row r="159">
      <c r="A159" s="22" t="inlineStr">
        <is>
          <t>OTROS GASTOS FIJOS</t>
        </is>
      </c>
      <c r="C159" s="23" t="inlineStr">
        <is>
          <t>Costo</t>
        </is>
      </c>
      <c r="D159" s="28" t="n"/>
    </row>
    <row r="160">
      <c r="A160" s="17" t="inlineStr">
        <is>
          <t>Herramientas SaaS (Slack, Notion, etc.)</t>
        </is>
      </c>
      <c r="C160" s="742" t="n">
        <v>500</v>
      </c>
    </row>
    <row r="161">
      <c r="A161" s="17" t="inlineStr">
        <is>
          <t>Coworking / oficina</t>
        </is>
      </c>
      <c r="C161" s="742" t="n">
        <v>700</v>
      </c>
    </row>
    <row r="162">
      <c r="A162" s="17" t="inlineStr">
        <is>
          <t>Seguros y misceláneos</t>
        </is>
      </c>
      <c r="C162" s="742" t="n">
        <v>300</v>
      </c>
    </row>
    <row r="163">
      <c r="A163" s="25" t="inlineStr">
        <is>
          <t>Total Otros Gastos Fijos</t>
        </is>
      </c>
      <c r="D163" s="750">
        <f>SUM(C160:C162)</f>
        <v/>
      </c>
    </row>
    <row r="164">
      <c r="A164" s="27" t="n"/>
      <c r="B164" s="27" t="n"/>
      <c r="C164" s="27" t="n"/>
      <c r="D164" s="27" t="n"/>
    </row>
    <row r="165">
      <c r="A165" s="30" t="inlineStr">
        <is>
          <t>TOTAL OPEX MENSUAL</t>
        </is>
      </c>
      <c r="B165" s="2" t="n"/>
      <c r="C165" s="2" t="n"/>
      <c r="D165" s="751">
        <f>D135+D140+D144+D148+D152+D157+D163+B126</f>
        <v/>
      </c>
    </row>
    <row r="166">
      <c r="A166" s="27" t="n"/>
      <c r="B166" s="27" t="n"/>
      <c r="C166" s="27" t="n"/>
      <c r="D166" s="27" t="n"/>
    </row>
    <row r="167">
      <c r="A167" s="32" t="inlineStr">
        <is>
          <t>Verificación: este total debe coincidir con la suma de B66:B72 en Supuestos</t>
        </is>
      </c>
      <c r="D167" s="33">
        <f>IF(D165=SUM(B118:B124)+B126,"✓ Cuadra","✗ No cuadra")</f>
        <v/>
      </c>
    </row>
  </sheetData>
  <pageMargins left="0.7" right="0.7" top="0.75" bottom="0.75" header="0.3" footer="0.3"/>
  <pageSetup orientation="portrait" horizontalDpi="0" verticalDpi="0"/>
  <legacyDrawing xmlns:r="http://schemas.openxmlformats.org/officeDocument/2006/relationships" r:id="anysvml"/>
</worksheet>
</file>

<file path=xl/worksheets/sheet8.xml><?xml version="1.0" encoding="utf-8"?>
<worksheet xmlns="http://schemas.openxmlformats.org/spreadsheetml/2006/main">
  <sheetPr>
    <tabColor rgb="FF548235"/>
    <outlinePr summaryBelow="1" summaryRight="1"/>
    <pageSetUpPr/>
  </sheetPr>
  <dimension ref="A1:BI23"/>
  <sheetViews>
    <sheetView topLeftCell="M1" workbookViewId="0">
      <selection activeCell="AF9" sqref="AF9"/>
    </sheetView>
  </sheetViews>
  <sheetFormatPr baseColWidth="10" defaultRowHeight="16"/>
  <cols>
    <col width="34.33203125" customWidth="1" min="1" max="1"/>
  </cols>
  <sheetData>
    <row r="1" ht="19" customHeight="1">
      <c r="A1" s="21" t="inlineStr">
        <is>
          <t>ONBOARDING — Proyección de Restaurantes, Meseros y Marcas</t>
        </is>
      </c>
    </row>
    <row r="3">
      <c r="A3" s="22" t="inlineStr">
        <is>
          <t>Concepto</t>
        </is>
      </c>
      <c r="B3" s="34" t="n">
        <v>1</v>
      </c>
      <c r="C3" s="34" t="n">
        <v>2</v>
      </c>
      <c r="D3" s="34" t="n">
        <v>3</v>
      </c>
      <c r="E3" s="34" t="n">
        <v>4</v>
      </c>
      <c r="F3" s="34" t="n">
        <v>5</v>
      </c>
      <c r="G3" s="34" t="n">
        <v>6</v>
      </c>
      <c r="H3" s="34" t="n">
        <v>7</v>
      </c>
      <c r="I3" s="34" t="n">
        <v>8</v>
      </c>
      <c r="J3" s="34" t="n">
        <v>9</v>
      </c>
      <c r="K3" s="34" t="n">
        <v>10</v>
      </c>
      <c r="L3" s="34" t="n">
        <v>11</v>
      </c>
      <c r="M3" s="34" t="n">
        <v>12</v>
      </c>
      <c r="N3" s="34" t="n">
        <v>13</v>
      </c>
      <c r="O3" s="34" t="n">
        <v>14</v>
      </c>
      <c r="P3" s="34" t="n">
        <v>15</v>
      </c>
      <c r="Q3" s="34" t="n">
        <v>16</v>
      </c>
      <c r="R3" s="34" t="n">
        <v>17</v>
      </c>
      <c r="S3" s="34" t="n">
        <v>18</v>
      </c>
      <c r="T3" s="34" t="n">
        <v>19</v>
      </c>
      <c r="U3" s="34" t="n">
        <v>20</v>
      </c>
      <c r="V3" s="34" t="n">
        <v>21</v>
      </c>
      <c r="W3" s="34" t="n">
        <v>22</v>
      </c>
      <c r="X3" s="34" t="n">
        <v>23</v>
      </c>
      <c r="Y3" s="34" t="n">
        <v>24</v>
      </c>
      <c r="Z3" s="34" t="n">
        <v>25</v>
      </c>
      <c r="AA3" s="34" t="n">
        <v>26</v>
      </c>
      <c r="AB3" s="34" t="n">
        <v>27</v>
      </c>
      <c r="AC3" s="34" t="n">
        <v>28</v>
      </c>
      <c r="AD3" s="34" t="n">
        <v>29</v>
      </c>
      <c r="AE3" s="34" t="n">
        <v>30</v>
      </c>
      <c r="AF3" s="34" t="n">
        <v>31</v>
      </c>
      <c r="AG3" s="34" t="n">
        <v>32</v>
      </c>
      <c r="AH3" s="34" t="n">
        <v>33</v>
      </c>
      <c r="AI3" s="34" t="n">
        <v>34</v>
      </c>
      <c r="AJ3" s="34" t="n">
        <v>35</v>
      </c>
      <c r="AK3" s="34" t="n">
        <v>36</v>
      </c>
      <c r="AL3" s="34" t="n">
        <v>37</v>
      </c>
      <c r="AM3" s="34" t="n">
        <v>38</v>
      </c>
      <c r="AN3" s="34" t="n">
        <v>39</v>
      </c>
      <c r="AO3" s="34" t="n">
        <v>40</v>
      </c>
      <c r="AP3" s="34" t="n">
        <v>41</v>
      </c>
      <c r="AQ3" s="34" t="n">
        <v>42</v>
      </c>
      <c r="AR3" s="34" t="n">
        <v>43</v>
      </c>
      <c r="AS3" s="34" t="n">
        <v>44</v>
      </c>
      <c r="AT3" s="34" t="n">
        <v>45</v>
      </c>
      <c r="AU3" s="34" t="n">
        <v>46</v>
      </c>
      <c r="AV3" s="34" t="n">
        <v>47</v>
      </c>
      <c r="AW3" s="34" t="n">
        <v>48</v>
      </c>
      <c r="AX3" s="34" t="n">
        <v>49</v>
      </c>
      <c r="AY3" s="34" t="n">
        <v>50</v>
      </c>
      <c r="AZ3" s="34" t="n">
        <v>51</v>
      </c>
      <c r="BA3" s="34" t="n">
        <v>52</v>
      </c>
      <c r="BB3" s="34" t="n">
        <v>53</v>
      </c>
      <c r="BC3" s="34" t="n">
        <v>54</v>
      </c>
      <c r="BD3" s="34" t="n">
        <v>55</v>
      </c>
      <c r="BE3" s="34" t="n">
        <v>56</v>
      </c>
      <c r="BF3" s="34" t="n">
        <v>57</v>
      </c>
      <c r="BG3" s="34" t="n">
        <v>58</v>
      </c>
      <c r="BH3" s="34" t="n">
        <v>59</v>
      </c>
      <c r="BI3" s="34" t="n">
        <v>60</v>
      </c>
    </row>
    <row r="5">
      <c r="A5" s="22" t="inlineStr">
        <is>
          <t>RESTAURANTES</t>
        </is>
      </c>
    </row>
    <row r="6">
      <c r="A6" s="35" t="inlineStr">
        <is>
          <t>Restaurantes nuevos directos</t>
        </is>
      </c>
      <c r="B6" s="37">
        <f>IF(B3&lt;='Supuestos Generales'!$C$12,'Supuestos Generales'!$D$12,IF(B3&lt;='Supuestos Generales'!$C$13,'Supuestos Generales'!$D$13,IF(B3&lt;='Supuestos Generales'!$C$14,'Supuestos Generales'!$D$14,IF(B3&lt;='Supuestos Generales'!$C$15,'Supuestos Generales'!$D$15,'Supuestos Generales'!$D$16))))</f>
        <v/>
      </c>
      <c r="C6" s="37">
        <f>IF(C3&lt;='Supuestos Generales'!$C$12,'Supuestos Generales'!$D$12,IF(C3&lt;='Supuestos Generales'!$C$13,'Supuestos Generales'!$D$13,IF(C3&lt;='Supuestos Generales'!$C$14,'Supuestos Generales'!$D$14,IF(C3&lt;='Supuestos Generales'!$C$15,'Supuestos Generales'!$D$15,'Supuestos Generales'!$D$16))))</f>
        <v/>
      </c>
      <c r="D6" s="37">
        <f>IF(D3&lt;='Supuestos Generales'!$C$12,'Supuestos Generales'!$D$12,IF(D3&lt;='Supuestos Generales'!$C$13,'Supuestos Generales'!$D$13,IF(D3&lt;='Supuestos Generales'!$C$14,'Supuestos Generales'!$D$14,IF(D3&lt;='Supuestos Generales'!$C$15,'Supuestos Generales'!$D$15,'Supuestos Generales'!$D$16))))</f>
        <v/>
      </c>
      <c r="E6" s="37">
        <f>IF(E3&lt;='Supuestos Generales'!$C$12,'Supuestos Generales'!$D$12,IF(E3&lt;='Supuestos Generales'!$C$13,'Supuestos Generales'!$D$13,IF(E3&lt;='Supuestos Generales'!$C$14,'Supuestos Generales'!$D$14,IF(E3&lt;='Supuestos Generales'!$C$15,'Supuestos Generales'!$D$15,'Supuestos Generales'!$D$16))))</f>
        <v/>
      </c>
      <c r="F6" s="37">
        <f>IF(F3&lt;='Supuestos Generales'!$C$12,'Supuestos Generales'!$D$12,IF(F3&lt;='Supuestos Generales'!$C$13,'Supuestos Generales'!$D$13,IF(F3&lt;='Supuestos Generales'!$C$14,'Supuestos Generales'!$D$14,IF(F3&lt;='Supuestos Generales'!$C$15,'Supuestos Generales'!$D$15,'Supuestos Generales'!$D$16))))</f>
        <v/>
      </c>
      <c r="G6" s="37">
        <f>IF(G3&lt;='Supuestos Generales'!$C$12,'Supuestos Generales'!$D$12,IF(G3&lt;='Supuestos Generales'!$C$13,'Supuestos Generales'!$D$13,IF(G3&lt;='Supuestos Generales'!$C$14,'Supuestos Generales'!$D$14,IF(G3&lt;='Supuestos Generales'!$C$15,'Supuestos Generales'!$D$15,'Supuestos Generales'!$D$16))))</f>
        <v/>
      </c>
      <c r="H6" s="37">
        <f>IF(H3&lt;='Supuestos Generales'!$C$12,'Supuestos Generales'!$D$12,IF(H3&lt;='Supuestos Generales'!$C$13,'Supuestos Generales'!$D$13,IF(H3&lt;='Supuestos Generales'!$C$14,'Supuestos Generales'!$D$14,IF(H3&lt;='Supuestos Generales'!$C$15,'Supuestos Generales'!$D$15,'Supuestos Generales'!$D$16))))</f>
        <v/>
      </c>
      <c r="I6" s="37">
        <f>IF(I3&lt;='Supuestos Generales'!$C$12,'Supuestos Generales'!$D$12,IF(I3&lt;='Supuestos Generales'!$C$13,'Supuestos Generales'!$D$13,IF(I3&lt;='Supuestos Generales'!$C$14,'Supuestos Generales'!$D$14,IF(I3&lt;='Supuestos Generales'!$C$15,'Supuestos Generales'!$D$15,'Supuestos Generales'!$D$16))))</f>
        <v/>
      </c>
      <c r="J6" s="37">
        <f>IF(J3&lt;='Supuestos Generales'!$C$12,'Supuestos Generales'!$D$12,IF(J3&lt;='Supuestos Generales'!$C$13,'Supuestos Generales'!$D$13,IF(J3&lt;='Supuestos Generales'!$C$14,'Supuestos Generales'!$D$14,IF(J3&lt;='Supuestos Generales'!$C$15,'Supuestos Generales'!$D$15,'Supuestos Generales'!$D$16))))</f>
        <v/>
      </c>
      <c r="K6" s="37">
        <f>IF(K3&lt;='Supuestos Generales'!$C$12,'Supuestos Generales'!$D$12,IF(K3&lt;='Supuestos Generales'!$C$13,'Supuestos Generales'!$D$13,IF(K3&lt;='Supuestos Generales'!$C$14,'Supuestos Generales'!$D$14,IF(K3&lt;='Supuestos Generales'!$C$15,'Supuestos Generales'!$D$15,'Supuestos Generales'!$D$16))))</f>
        <v/>
      </c>
      <c r="L6" s="37">
        <f>IF(L3&lt;='Supuestos Generales'!$C$12,'Supuestos Generales'!$D$12,IF(L3&lt;='Supuestos Generales'!$C$13,'Supuestos Generales'!$D$13,IF(L3&lt;='Supuestos Generales'!$C$14,'Supuestos Generales'!$D$14,IF(L3&lt;='Supuestos Generales'!$C$15,'Supuestos Generales'!$D$15,'Supuestos Generales'!$D$16))))</f>
        <v/>
      </c>
      <c r="M6" s="37">
        <f>IF(M3&lt;='Supuestos Generales'!$C$12,'Supuestos Generales'!$D$12,IF(M3&lt;='Supuestos Generales'!$C$13,'Supuestos Generales'!$D$13,IF(M3&lt;='Supuestos Generales'!$C$14,'Supuestos Generales'!$D$14,IF(M3&lt;='Supuestos Generales'!$C$15,'Supuestos Generales'!$D$15,'Supuestos Generales'!$D$16))))</f>
        <v/>
      </c>
      <c r="N6" s="37">
        <f>IF(N3&lt;='Supuestos Generales'!$C$12,'Supuestos Generales'!$D$12,IF(N3&lt;='Supuestos Generales'!$C$13,'Supuestos Generales'!$D$13,IF(N3&lt;='Supuestos Generales'!$C$14,'Supuestos Generales'!$D$14,IF(N3&lt;='Supuestos Generales'!$C$15,'Supuestos Generales'!$D$15,'Supuestos Generales'!$D$16))))</f>
        <v/>
      </c>
      <c r="O6" s="37">
        <f>IF(O3&lt;='Supuestos Generales'!$C$12,'Supuestos Generales'!$D$12,IF(O3&lt;='Supuestos Generales'!$C$13,'Supuestos Generales'!$D$13,IF(O3&lt;='Supuestos Generales'!$C$14,'Supuestos Generales'!$D$14,IF(O3&lt;='Supuestos Generales'!$C$15,'Supuestos Generales'!$D$15,'Supuestos Generales'!$D$16))))</f>
        <v/>
      </c>
      <c r="P6" s="37">
        <f>IF(P3&lt;='Supuestos Generales'!$C$12,'Supuestos Generales'!$D$12,IF(P3&lt;='Supuestos Generales'!$C$13,'Supuestos Generales'!$D$13,IF(P3&lt;='Supuestos Generales'!$C$14,'Supuestos Generales'!$D$14,IF(P3&lt;='Supuestos Generales'!$C$15,'Supuestos Generales'!$D$15,'Supuestos Generales'!$D$16))))</f>
        <v/>
      </c>
      <c r="Q6" s="37">
        <f>IF(Q3&lt;='Supuestos Generales'!$C$12,'Supuestos Generales'!$D$12,IF(Q3&lt;='Supuestos Generales'!$C$13,'Supuestos Generales'!$D$13,IF(Q3&lt;='Supuestos Generales'!$C$14,'Supuestos Generales'!$D$14,IF(Q3&lt;='Supuestos Generales'!$C$15,'Supuestos Generales'!$D$15,'Supuestos Generales'!$D$16))))</f>
        <v/>
      </c>
      <c r="R6" s="37">
        <f>IF(R3&lt;='Supuestos Generales'!$C$12,'Supuestos Generales'!$D$12,IF(R3&lt;='Supuestos Generales'!$C$13,'Supuestos Generales'!$D$13,IF(R3&lt;='Supuestos Generales'!$C$14,'Supuestos Generales'!$D$14,IF(R3&lt;='Supuestos Generales'!$C$15,'Supuestos Generales'!$D$15,'Supuestos Generales'!$D$16))))</f>
        <v/>
      </c>
      <c r="S6" s="37">
        <f>IF(S3&lt;='Supuestos Generales'!$C$12,'Supuestos Generales'!$D$12,IF(S3&lt;='Supuestos Generales'!$C$13,'Supuestos Generales'!$D$13,IF(S3&lt;='Supuestos Generales'!$C$14,'Supuestos Generales'!$D$14,IF(S3&lt;='Supuestos Generales'!$C$15,'Supuestos Generales'!$D$15,'Supuestos Generales'!$D$16))))</f>
        <v/>
      </c>
      <c r="T6" s="37">
        <f>IF(T3&lt;='Supuestos Generales'!$C$12,'Supuestos Generales'!$D$12,IF(T3&lt;='Supuestos Generales'!$C$13,'Supuestos Generales'!$D$13,IF(T3&lt;='Supuestos Generales'!$C$14,'Supuestos Generales'!$D$14,IF(T3&lt;='Supuestos Generales'!$C$15,'Supuestos Generales'!$D$15,'Supuestos Generales'!$D$16))))</f>
        <v/>
      </c>
      <c r="U6" s="37">
        <f>IF(U3&lt;='Supuestos Generales'!$C$12,'Supuestos Generales'!$D$12,IF(U3&lt;='Supuestos Generales'!$C$13,'Supuestos Generales'!$D$13,IF(U3&lt;='Supuestos Generales'!$C$14,'Supuestos Generales'!$D$14,IF(U3&lt;='Supuestos Generales'!$C$15,'Supuestos Generales'!$D$15,'Supuestos Generales'!$D$16))))</f>
        <v/>
      </c>
      <c r="V6" s="37">
        <f>IF(V3&lt;='Supuestos Generales'!$C$12,'Supuestos Generales'!$D$12,IF(V3&lt;='Supuestos Generales'!$C$13,'Supuestos Generales'!$D$13,IF(V3&lt;='Supuestos Generales'!$C$14,'Supuestos Generales'!$D$14,IF(V3&lt;='Supuestos Generales'!$C$15,'Supuestos Generales'!$D$15,'Supuestos Generales'!$D$16))))</f>
        <v/>
      </c>
      <c r="W6" s="37">
        <f>IF(W3&lt;='Supuestos Generales'!$C$12,'Supuestos Generales'!$D$12,IF(W3&lt;='Supuestos Generales'!$C$13,'Supuestos Generales'!$D$13,IF(W3&lt;='Supuestos Generales'!$C$14,'Supuestos Generales'!$D$14,IF(W3&lt;='Supuestos Generales'!$C$15,'Supuestos Generales'!$D$15,'Supuestos Generales'!$D$16))))</f>
        <v/>
      </c>
      <c r="X6" s="37">
        <f>IF(X3&lt;='Supuestos Generales'!$C$12,'Supuestos Generales'!$D$12,IF(X3&lt;='Supuestos Generales'!$C$13,'Supuestos Generales'!$D$13,IF(X3&lt;='Supuestos Generales'!$C$14,'Supuestos Generales'!$D$14,IF(X3&lt;='Supuestos Generales'!$C$15,'Supuestos Generales'!$D$15,'Supuestos Generales'!$D$16))))</f>
        <v/>
      </c>
      <c r="Y6" s="37">
        <f>IF(Y3&lt;='Supuestos Generales'!$C$12,'Supuestos Generales'!$D$12,IF(Y3&lt;='Supuestos Generales'!$C$13,'Supuestos Generales'!$D$13,IF(Y3&lt;='Supuestos Generales'!$C$14,'Supuestos Generales'!$D$14,IF(Y3&lt;='Supuestos Generales'!$C$15,'Supuestos Generales'!$D$15,'Supuestos Generales'!$D$16))))</f>
        <v/>
      </c>
      <c r="Z6" s="37">
        <f>IF(Z3&lt;='Supuestos Generales'!$C$12,'Supuestos Generales'!$D$12,IF(Z3&lt;='Supuestos Generales'!$C$13,'Supuestos Generales'!$D$13,IF(Z3&lt;='Supuestos Generales'!$C$14,'Supuestos Generales'!$D$14,IF(Z3&lt;='Supuestos Generales'!$C$15,'Supuestos Generales'!$D$15,'Supuestos Generales'!$D$16))))</f>
        <v/>
      </c>
      <c r="AA6" s="37">
        <f>IF(AA3&lt;='Supuestos Generales'!$C$12,'Supuestos Generales'!$D$12,IF(AA3&lt;='Supuestos Generales'!$C$13,'Supuestos Generales'!$D$13,IF(AA3&lt;='Supuestos Generales'!$C$14,'Supuestos Generales'!$D$14,IF(AA3&lt;='Supuestos Generales'!$C$15,'Supuestos Generales'!$D$15,'Supuestos Generales'!$D$16))))</f>
        <v/>
      </c>
      <c r="AB6" s="37">
        <f>IF(AB3&lt;='Supuestos Generales'!$C$12,'Supuestos Generales'!$D$12,IF(AB3&lt;='Supuestos Generales'!$C$13,'Supuestos Generales'!$D$13,IF(AB3&lt;='Supuestos Generales'!$C$14,'Supuestos Generales'!$D$14,IF(AB3&lt;='Supuestos Generales'!$C$15,'Supuestos Generales'!$D$15,'Supuestos Generales'!$D$16))))</f>
        <v/>
      </c>
      <c r="AC6" s="37">
        <f>IF(AC3&lt;='Supuestos Generales'!$C$12,'Supuestos Generales'!$D$12,IF(AC3&lt;='Supuestos Generales'!$C$13,'Supuestos Generales'!$D$13,IF(AC3&lt;='Supuestos Generales'!$C$14,'Supuestos Generales'!$D$14,IF(AC3&lt;='Supuestos Generales'!$C$15,'Supuestos Generales'!$D$15,'Supuestos Generales'!$D$16))))</f>
        <v/>
      </c>
      <c r="AD6" s="37">
        <f>IF(AD3&lt;='Supuestos Generales'!$C$12,'Supuestos Generales'!$D$12,IF(AD3&lt;='Supuestos Generales'!$C$13,'Supuestos Generales'!$D$13,IF(AD3&lt;='Supuestos Generales'!$C$14,'Supuestos Generales'!$D$14,IF(AD3&lt;='Supuestos Generales'!$C$15,'Supuestos Generales'!$D$15,'Supuestos Generales'!$D$16))))</f>
        <v/>
      </c>
      <c r="AE6" s="37">
        <f>IF(AE3&lt;='Supuestos Generales'!$C$12,'Supuestos Generales'!$D$12,IF(AE3&lt;='Supuestos Generales'!$C$13,'Supuestos Generales'!$D$13,IF(AE3&lt;='Supuestos Generales'!$C$14,'Supuestos Generales'!$D$14,IF(AE3&lt;='Supuestos Generales'!$C$15,'Supuestos Generales'!$D$15,'Supuestos Generales'!$D$16))))</f>
        <v/>
      </c>
      <c r="AF6" s="37">
        <f>IF(AF3&lt;='Supuestos Generales'!$C$12,'Supuestos Generales'!$D$12,IF(AF3&lt;='Supuestos Generales'!$C$13,'Supuestos Generales'!$D$13,IF(AF3&lt;='Supuestos Generales'!$C$14,'Supuestos Generales'!$D$14,IF(AF3&lt;='Supuestos Generales'!$C$15,'Supuestos Generales'!$D$15,'Supuestos Generales'!$D$16))))</f>
        <v/>
      </c>
      <c r="AG6" s="37">
        <f>IF(AG3&lt;='Supuestos Generales'!$C$12,'Supuestos Generales'!$D$12,IF(AG3&lt;='Supuestos Generales'!$C$13,'Supuestos Generales'!$D$13,IF(AG3&lt;='Supuestos Generales'!$C$14,'Supuestos Generales'!$D$14,IF(AG3&lt;='Supuestos Generales'!$C$15,'Supuestos Generales'!$D$15,'Supuestos Generales'!$D$16))))</f>
        <v/>
      </c>
      <c r="AH6" s="37">
        <f>IF(AH3&lt;='Supuestos Generales'!$C$12,'Supuestos Generales'!$D$12,IF(AH3&lt;='Supuestos Generales'!$C$13,'Supuestos Generales'!$D$13,IF(AH3&lt;='Supuestos Generales'!$C$14,'Supuestos Generales'!$D$14,IF(AH3&lt;='Supuestos Generales'!$C$15,'Supuestos Generales'!$D$15,'Supuestos Generales'!$D$16))))</f>
        <v/>
      </c>
      <c r="AI6" s="37">
        <f>IF(AI3&lt;='Supuestos Generales'!$C$12,'Supuestos Generales'!$D$12,IF(AI3&lt;='Supuestos Generales'!$C$13,'Supuestos Generales'!$D$13,IF(AI3&lt;='Supuestos Generales'!$C$14,'Supuestos Generales'!$D$14,IF(AI3&lt;='Supuestos Generales'!$C$15,'Supuestos Generales'!$D$15,'Supuestos Generales'!$D$16))))</f>
        <v/>
      </c>
      <c r="AJ6" s="37">
        <f>IF(AJ3&lt;='Supuestos Generales'!$C$12,'Supuestos Generales'!$D$12,IF(AJ3&lt;='Supuestos Generales'!$C$13,'Supuestos Generales'!$D$13,IF(AJ3&lt;='Supuestos Generales'!$C$14,'Supuestos Generales'!$D$14,IF(AJ3&lt;='Supuestos Generales'!$C$15,'Supuestos Generales'!$D$15,'Supuestos Generales'!$D$16))))</f>
        <v/>
      </c>
      <c r="AK6" s="37">
        <f>IF(AK3&lt;='Supuestos Generales'!$C$12,'Supuestos Generales'!$D$12,IF(AK3&lt;='Supuestos Generales'!$C$13,'Supuestos Generales'!$D$13,IF(AK3&lt;='Supuestos Generales'!$C$14,'Supuestos Generales'!$D$14,IF(AK3&lt;='Supuestos Generales'!$C$15,'Supuestos Generales'!$D$15,'Supuestos Generales'!$D$16))))</f>
        <v/>
      </c>
      <c r="AL6" s="37">
        <f>IF(AL3&lt;='Supuestos Generales'!$C$12,'Supuestos Generales'!$D$12,IF(AL3&lt;='Supuestos Generales'!$C$13,'Supuestos Generales'!$D$13,IF(AL3&lt;='Supuestos Generales'!$C$14,'Supuestos Generales'!$D$14,IF(AL3&lt;='Supuestos Generales'!$C$15,'Supuestos Generales'!$D$15,'Supuestos Generales'!$D$16))))</f>
        <v/>
      </c>
      <c r="AM6" s="37">
        <f>IF(AM3&lt;='Supuestos Generales'!$C$12,'Supuestos Generales'!$D$12,IF(AM3&lt;='Supuestos Generales'!$C$13,'Supuestos Generales'!$D$13,IF(AM3&lt;='Supuestos Generales'!$C$14,'Supuestos Generales'!$D$14,IF(AM3&lt;='Supuestos Generales'!$C$15,'Supuestos Generales'!$D$15,'Supuestos Generales'!$D$16))))</f>
        <v/>
      </c>
      <c r="AN6" s="37">
        <f>IF(AN3&lt;='Supuestos Generales'!$C$12,'Supuestos Generales'!$D$12,IF(AN3&lt;='Supuestos Generales'!$C$13,'Supuestos Generales'!$D$13,IF(AN3&lt;='Supuestos Generales'!$C$14,'Supuestos Generales'!$D$14,IF(AN3&lt;='Supuestos Generales'!$C$15,'Supuestos Generales'!$D$15,'Supuestos Generales'!$D$16))))</f>
        <v/>
      </c>
      <c r="AO6" s="37">
        <f>IF(AO3&lt;='Supuestos Generales'!$C$12,'Supuestos Generales'!$D$12,IF(AO3&lt;='Supuestos Generales'!$C$13,'Supuestos Generales'!$D$13,IF(AO3&lt;='Supuestos Generales'!$C$14,'Supuestos Generales'!$D$14,IF(AO3&lt;='Supuestos Generales'!$C$15,'Supuestos Generales'!$D$15,'Supuestos Generales'!$D$16))))</f>
        <v/>
      </c>
      <c r="AP6" s="37">
        <f>IF(AP3&lt;='Supuestos Generales'!$C$12,'Supuestos Generales'!$D$12,IF(AP3&lt;='Supuestos Generales'!$C$13,'Supuestos Generales'!$D$13,IF(AP3&lt;='Supuestos Generales'!$C$14,'Supuestos Generales'!$D$14,IF(AP3&lt;='Supuestos Generales'!$C$15,'Supuestos Generales'!$D$15,'Supuestos Generales'!$D$16))))</f>
        <v/>
      </c>
      <c r="AQ6" s="37">
        <f>IF(AQ3&lt;='Supuestos Generales'!$C$12,'Supuestos Generales'!$D$12,IF(AQ3&lt;='Supuestos Generales'!$C$13,'Supuestos Generales'!$D$13,IF(AQ3&lt;='Supuestos Generales'!$C$14,'Supuestos Generales'!$D$14,IF(AQ3&lt;='Supuestos Generales'!$C$15,'Supuestos Generales'!$D$15,'Supuestos Generales'!$D$16))))</f>
        <v/>
      </c>
      <c r="AR6" s="37">
        <f>IF(AR3&lt;='Supuestos Generales'!$C$12,'Supuestos Generales'!$D$12,IF(AR3&lt;='Supuestos Generales'!$C$13,'Supuestos Generales'!$D$13,IF(AR3&lt;='Supuestos Generales'!$C$14,'Supuestos Generales'!$D$14,IF(AR3&lt;='Supuestos Generales'!$C$15,'Supuestos Generales'!$D$15,'Supuestos Generales'!$D$16))))</f>
        <v/>
      </c>
      <c r="AS6" s="37">
        <f>IF(AS3&lt;='Supuestos Generales'!$C$12,'Supuestos Generales'!$D$12,IF(AS3&lt;='Supuestos Generales'!$C$13,'Supuestos Generales'!$D$13,IF(AS3&lt;='Supuestos Generales'!$C$14,'Supuestos Generales'!$D$14,IF(AS3&lt;='Supuestos Generales'!$C$15,'Supuestos Generales'!$D$15,'Supuestos Generales'!$D$16))))</f>
        <v/>
      </c>
      <c r="AT6" s="37">
        <f>IF(AT3&lt;='Supuestos Generales'!$C$12,'Supuestos Generales'!$D$12,IF(AT3&lt;='Supuestos Generales'!$C$13,'Supuestos Generales'!$D$13,IF(AT3&lt;='Supuestos Generales'!$C$14,'Supuestos Generales'!$D$14,IF(AT3&lt;='Supuestos Generales'!$C$15,'Supuestos Generales'!$D$15,'Supuestos Generales'!$D$16))))</f>
        <v/>
      </c>
      <c r="AU6" s="37">
        <f>IF(AU3&lt;='Supuestos Generales'!$C$12,'Supuestos Generales'!$D$12,IF(AU3&lt;='Supuestos Generales'!$C$13,'Supuestos Generales'!$D$13,IF(AU3&lt;='Supuestos Generales'!$C$14,'Supuestos Generales'!$D$14,IF(AU3&lt;='Supuestos Generales'!$C$15,'Supuestos Generales'!$D$15,'Supuestos Generales'!$D$16))))</f>
        <v/>
      </c>
      <c r="AV6" s="37">
        <f>IF(AV3&lt;='Supuestos Generales'!$C$12,'Supuestos Generales'!$D$12,IF(AV3&lt;='Supuestos Generales'!$C$13,'Supuestos Generales'!$D$13,IF(AV3&lt;='Supuestos Generales'!$C$14,'Supuestos Generales'!$D$14,IF(AV3&lt;='Supuestos Generales'!$C$15,'Supuestos Generales'!$D$15,'Supuestos Generales'!$D$16))))</f>
        <v/>
      </c>
      <c r="AW6" s="37">
        <f>IF(AW3&lt;='Supuestos Generales'!$C$12,'Supuestos Generales'!$D$12,IF(AW3&lt;='Supuestos Generales'!$C$13,'Supuestos Generales'!$D$13,IF(AW3&lt;='Supuestos Generales'!$C$14,'Supuestos Generales'!$D$14,IF(AW3&lt;='Supuestos Generales'!$C$15,'Supuestos Generales'!$D$15,'Supuestos Generales'!$D$16))))</f>
        <v/>
      </c>
      <c r="AX6" s="37">
        <f>IF(AX3&lt;='Supuestos Generales'!$C$12,'Supuestos Generales'!$D$12,IF(AX3&lt;='Supuestos Generales'!$C$13,'Supuestos Generales'!$D$13,IF(AX3&lt;='Supuestos Generales'!$C$14,'Supuestos Generales'!$D$14,IF(AX3&lt;='Supuestos Generales'!$C$15,'Supuestos Generales'!$D$15,'Supuestos Generales'!$D$16))))</f>
        <v/>
      </c>
      <c r="AY6" s="37">
        <f>IF(AY3&lt;='Supuestos Generales'!$C$12,'Supuestos Generales'!$D$12,IF(AY3&lt;='Supuestos Generales'!$C$13,'Supuestos Generales'!$D$13,IF(AY3&lt;='Supuestos Generales'!$C$14,'Supuestos Generales'!$D$14,IF(AY3&lt;='Supuestos Generales'!$C$15,'Supuestos Generales'!$D$15,'Supuestos Generales'!$D$16))))</f>
        <v/>
      </c>
      <c r="AZ6" s="37">
        <f>IF(AZ3&lt;='Supuestos Generales'!$C$12,'Supuestos Generales'!$D$12,IF(AZ3&lt;='Supuestos Generales'!$C$13,'Supuestos Generales'!$D$13,IF(AZ3&lt;='Supuestos Generales'!$C$14,'Supuestos Generales'!$D$14,IF(AZ3&lt;='Supuestos Generales'!$C$15,'Supuestos Generales'!$D$15,'Supuestos Generales'!$D$16))))</f>
        <v/>
      </c>
      <c r="BA6" s="37">
        <f>IF(BA3&lt;='Supuestos Generales'!$C$12,'Supuestos Generales'!$D$12,IF(BA3&lt;='Supuestos Generales'!$C$13,'Supuestos Generales'!$D$13,IF(BA3&lt;='Supuestos Generales'!$C$14,'Supuestos Generales'!$D$14,IF(BA3&lt;='Supuestos Generales'!$C$15,'Supuestos Generales'!$D$15,'Supuestos Generales'!$D$16))))</f>
        <v/>
      </c>
      <c r="BB6" s="37">
        <f>IF(BB3&lt;='Supuestos Generales'!$C$12,'Supuestos Generales'!$D$12,IF(BB3&lt;='Supuestos Generales'!$C$13,'Supuestos Generales'!$D$13,IF(BB3&lt;='Supuestos Generales'!$C$14,'Supuestos Generales'!$D$14,IF(BB3&lt;='Supuestos Generales'!$C$15,'Supuestos Generales'!$D$15,'Supuestos Generales'!$D$16))))</f>
        <v/>
      </c>
      <c r="BC6" s="37">
        <f>IF(BC3&lt;='Supuestos Generales'!$C$12,'Supuestos Generales'!$D$12,IF(BC3&lt;='Supuestos Generales'!$C$13,'Supuestos Generales'!$D$13,IF(BC3&lt;='Supuestos Generales'!$C$14,'Supuestos Generales'!$D$14,IF(BC3&lt;='Supuestos Generales'!$C$15,'Supuestos Generales'!$D$15,'Supuestos Generales'!$D$16))))</f>
        <v/>
      </c>
      <c r="BD6" s="37">
        <f>IF(BD3&lt;='Supuestos Generales'!$C$12,'Supuestos Generales'!$D$12,IF(BD3&lt;='Supuestos Generales'!$C$13,'Supuestos Generales'!$D$13,IF(BD3&lt;='Supuestos Generales'!$C$14,'Supuestos Generales'!$D$14,IF(BD3&lt;='Supuestos Generales'!$C$15,'Supuestos Generales'!$D$15,'Supuestos Generales'!$D$16))))</f>
        <v/>
      </c>
      <c r="BE6" s="37">
        <f>IF(BE3&lt;='Supuestos Generales'!$C$12,'Supuestos Generales'!$D$12,IF(BE3&lt;='Supuestos Generales'!$C$13,'Supuestos Generales'!$D$13,IF(BE3&lt;='Supuestos Generales'!$C$14,'Supuestos Generales'!$D$14,IF(BE3&lt;='Supuestos Generales'!$C$15,'Supuestos Generales'!$D$15,'Supuestos Generales'!$D$16))))</f>
        <v/>
      </c>
      <c r="BF6" s="37">
        <f>IF(BF3&lt;='Supuestos Generales'!$C$12,'Supuestos Generales'!$D$12,IF(BF3&lt;='Supuestos Generales'!$C$13,'Supuestos Generales'!$D$13,IF(BF3&lt;='Supuestos Generales'!$C$14,'Supuestos Generales'!$D$14,IF(BF3&lt;='Supuestos Generales'!$C$15,'Supuestos Generales'!$D$15,'Supuestos Generales'!$D$16))))</f>
        <v/>
      </c>
      <c r="BG6" s="37">
        <f>IF(BG3&lt;='Supuestos Generales'!$C$12,'Supuestos Generales'!$D$12,IF(BG3&lt;='Supuestos Generales'!$C$13,'Supuestos Generales'!$D$13,IF(BG3&lt;='Supuestos Generales'!$C$14,'Supuestos Generales'!$D$14,IF(BG3&lt;='Supuestos Generales'!$C$15,'Supuestos Generales'!$D$15,'Supuestos Generales'!$D$16))))</f>
        <v/>
      </c>
      <c r="BH6" s="37">
        <f>IF(BH3&lt;='Supuestos Generales'!$C$12,'Supuestos Generales'!$D$12,IF(BH3&lt;='Supuestos Generales'!$C$13,'Supuestos Generales'!$D$13,IF(BH3&lt;='Supuestos Generales'!$C$14,'Supuestos Generales'!$D$14,IF(BH3&lt;='Supuestos Generales'!$C$15,'Supuestos Generales'!$D$15,'Supuestos Generales'!$D$16))))</f>
        <v/>
      </c>
      <c r="BI6" s="37">
        <f>IF(BI3&lt;='Supuestos Generales'!$C$12,'Supuestos Generales'!$D$12,IF(BI3&lt;='Supuestos Generales'!$C$13,'Supuestos Generales'!$D$13,IF(BI3&lt;='Supuestos Generales'!$C$14,'Supuestos Generales'!$D$14,IF(BI3&lt;='Supuestos Generales'!$C$15,'Supuestos Generales'!$D$15,'Supuestos Generales'!$D$16))))</f>
        <v/>
      </c>
    </row>
    <row r="7">
      <c r="A7" s="35" t="inlineStr">
        <is>
          <t>Referidos (mes anterior)</t>
        </is>
      </c>
      <c r="B7" s="37" t="n">
        <v>0</v>
      </c>
      <c r="C7" s="37">
        <f>(B6+B9)*'Supuestos Generales'!$B$91/2</f>
        <v/>
      </c>
      <c r="D7" s="37">
        <f>(C6+C9)*'Supuestos Generales'!$B$91/2</f>
        <v/>
      </c>
      <c r="E7" s="37">
        <f>(D6+D9)*'Supuestos Generales'!$B$91/2</f>
        <v/>
      </c>
      <c r="F7" s="37">
        <f>(E6+E9)*'Supuestos Generales'!$B$91/2</f>
        <v/>
      </c>
      <c r="G7" s="37">
        <f>(F6+F9)*'Supuestos Generales'!$B$91/2</f>
        <v/>
      </c>
      <c r="H7" s="37">
        <f>(G6+G9)*'Supuestos Generales'!$B$91/2</f>
        <v/>
      </c>
      <c r="I7" s="37">
        <f>(H6+H9)*'Supuestos Generales'!$B$91/2</f>
        <v/>
      </c>
      <c r="J7" s="37">
        <f>(I6+I9)*'Supuestos Generales'!$B$91/2</f>
        <v/>
      </c>
      <c r="K7" s="37">
        <f>(J6+J9)*'Supuestos Generales'!$B$91/2</f>
        <v/>
      </c>
      <c r="L7" s="37">
        <f>(K6+K9)*'Supuestos Generales'!$B$91/2</f>
        <v/>
      </c>
      <c r="M7" s="37">
        <f>(L6+L9)*'Supuestos Generales'!$B$91/2</f>
        <v/>
      </c>
      <c r="N7" s="37">
        <f>(M6+M9)*'Supuestos Generales'!$B$91/2</f>
        <v/>
      </c>
      <c r="O7" s="37">
        <f>(N6+N9)*'Supuestos Generales'!$B$91/2</f>
        <v/>
      </c>
      <c r="P7" s="37">
        <f>(O6+O9)*'Supuestos Generales'!$B$91/2</f>
        <v/>
      </c>
      <c r="Q7" s="37">
        <f>(P6+P9)*'Supuestos Generales'!$B$91/2</f>
        <v/>
      </c>
      <c r="R7" s="37">
        <f>(Q6+Q9)*'Supuestos Generales'!$B$91/2</f>
        <v/>
      </c>
      <c r="S7" s="37">
        <f>(R6+R9)*'Supuestos Generales'!$B$91/2</f>
        <v/>
      </c>
      <c r="T7" s="37">
        <f>(S6+S9)*'Supuestos Generales'!$B$91/2</f>
        <v/>
      </c>
      <c r="U7" s="37">
        <f>(T6+T9)*'Supuestos Generales'!$B$91/2</f>
        <v/>
      </c>
      <c r="V7" s="37">
        <f>(U6+U9)*'Supuestos Generales'!$B$91/2</f>
        <v/>
      </c>
      <c r="W7" s="37">
        <f>(V6+V9)*'Supuestos Generales'!$B$91/2</f>
        <v/>
      </c>
      <c r="X7" s="37">
        <f>(W6+W9)*'Supuestos Generales'!$B$91/2</f>
        <v/>
      </c>
      <c r="Y7" s="37">
        <f>(X6+X9)*'Supuestos Generales'!$B$91/2</f>
        <v/>
      </c>
      <c r="Z7" s="37">
        <f>(Y6+Y9)*'Supuestos Generales'!$B$91/2</f>
        <v/>
      </c>
      <c r="AA7" s="37">
        <f>(Z6+Z9)*'Supuestos Generales'!$B$91/2</f>
        <v/>
      </c>
      <c r="AB7" s="37">
        <f>(AA6+AA9)*'Supuestos Generales'!$B$91/2</f>
        <v/>
      </c>
      <c r="AC7" s="37">
        <f>(AB6+AB9)*'Supuestos Generales'!$B$91/2</f>
        <v/>
      </c>
      <c r="AD7" s="37">
        <f>(AC6+AC9)*'Supuestos Generales'!$B$91/2</f>
        <v/>
      </c>
      <c r="AE7" s="37">
        <f>(AD6+AD9)*'Supuestos Generales'!$B$91/2</f>
        <v/>
      </c>
      <c r="AF7" s="37">
        <f>(AE6+AE9)*'Supuestos Generales'!$B$91/2</f>
        <v/>
      </c>
      <c r="AG7" s="37">
        <f>(AF6+AF9)*'Supuestos Generales'!$B$91/2</f>
        <v/>
      </c>
      <c r="AH7" s="37">
        <f>(AG6+AG9)*'Supuestos Generales'!$B$91/2</f>
        <v/>
      </c>
      <c r="AI7" s="37">
        <f>(AH6+AH9)*'Supuestos Generales'!$B$91/2</f>
        <v/>
      </c>
      <c r="AJ7" s="37">
        <f>(AI6+AI9)*'Supuestos Generales'!$B$91/2</f>
        <v/>
      </c>
      <c r="AK7" s="37">
        <f>(AJ6+AJ9)*'Supuestos Generales'!$B$91/2</f>
        <v/>
      </c>
      <c r="AL7" s="37">
        <f>(AK6+AK9)*'Supuestos Generales'!$B$91/2</f>
        <v/>
      </c>
      <c r="AM7" s="37">
        <f>(AL6+AL9)*'Supuestos Generales'!$B$91/2</f>
        <v/>
      </c>
      <c r="AN7" s="37">
        <f>(AM6+AM9)*'Supuestos Generales'!$B$91/2</f>
        <v/>
      </c>
      <c r="AO7" s="37">
        <f>(AN6+AN9)*'Supuestos Generales'!$B$91/2</f>
        <v/>
      </c>
      <c r="AP7" s="37">
        <f>(AO6+AO9)*'Supuestos Generales'!$B$91/2</f>
        <v/>
      </c>
      <c r="AQ7" s="37">
        <f>(AP6+AP9)*'Supuestos Generales'!$B$91/2</f>
        <v/>
      </c>
      <c r="AR7" s="37">
        <f>(AQ6+AQ9)*'Supuestos Generales'!$B$91/2</f>
        <v/>
      </c>
      <c r="AS7" s="37">
        <f>(AR6+AR9)*'Supuestos Generales'!$B$91/2</f>
        <v/>
      </c>
      <c r="AT7" s="37">
        <f>(AS6+AS9)*'Supuestos Generales'!$B$91/2</f>
        <v/>
      </c>
      <c r="AU7" s="37">
        <f>(AT6+AT9)*'Supuestos Generales'!$B$91/2</f>
        <v/>
      </c>
      <c r="AV7" s="37">
        <f>(AU6+AU9)*'Supuestos Generales'!$B$91/2</f>
        <v/>
      </c>
      <c r="AW7" s="37">
        <f>(AV6+AV9)*'Supuestos Generales'!$B$91/2</f>
        <v/>
      </c>
      <c r="AX7" s="37">
        <f>(AW6+AW9)*'Supuestos Generales'!$B$91/2</f>
        <v/>
      </c>
      <c r="AY7" s="37">
        <f>(AX6+AX9)*'Supuestos Generales'!$B$91/2</f>
        <v/>
      </c>
      <c r="AZ7" s="37">
        <f>(AY6+AY9)*'Supuestos Generales'!$B$91/2</f>
        <v/>
      </c>
      <c r="BA7" s="37">
        <f>(AZ6+AZ9)*'Supuestos Generales'!$B$91/2</f>
        <v/>
      </c>
      <c r="BB7" s="37">
        <f>(BA6+BA9)*'Supuestos Generales'!$B$91/2</f>
        <v/>
      </c>
      <c r="BC7" s="37">
        <f>(BB6+BB9)*'Supuestos Generales'!$B$91/2</f>
        <v/>
      </c>
      <c r="BD7" s="37">
        <f>(BC6+BC9)*'Supuestos Generales'!$B$91/2</f>
        <v/>
      </c>
      <c r="BE7" s="37">
        <f>(BD6+BD9)*'Supuestos Generales'!$B$91/2</f>
        <v/>
      </c>
      <c r="BF7" s="37">
        <f>(BE6+BE9)*'Supuestos Generales'!$B$91/2</f>
        <v/>
      </c>
      <c r="BG7" s="37">
        <f>(BF6+BF9)*'Supuestos Generales'!$B$91/2</f>
        <v/>
      </c>
      <c r="BH7" s="37">
        <f>(BG6+BG9)*'Supuestos Generales'!$B$91/2</f>
        <v/>
      </c>
      <c r="BI7" s="37">
        <f>(BH6+BH9)*'Supuestos Generales'!$B$91/2</f>
        <v/>
      </c>
    </row>
    <row r="8">
      <c r="A8" s="35" t="inlineStr">
        <is>
          <t>Referidos (2 meses antes)</t>
        </is>
      </c>
      <c r="B8" s="37" t="n">
        <v>0</v>
      </c>
      <c r="C8" s="37" t="n">
        <v>0</v>
      </c>
      <c r="D8" s="37">
        <f>(B6+B9)*'Supuestos Generales'!$B$91/2</f>
        <v/>
      </c>
      <c r="E8" s="37">
        <f>(C6+C9)*'Supuestos Generales'!$B$91/2</f>
        <v/>
      </c>
      <c r="F8" s="37">
        <f>(D6+D9)*'Supuestos Generales'!$B$91/2</f>
        <v/>
      </c>
      <c r="G8" s="37">
        <f>(E6+E9)*'Supuestos Generales'!$B$91/2</f>
        <v/>
      </c>
      <c r="H8" s="37">
        <f>(F6+F9)*'Supuestos Generales'!$B$91/2</f>
        <v/>
      </c>
      <c r="I8" s="37">
        <f>(G6+G9)*'Supuestos Generales'!$B$91/2</f>
        <v/>
      </c>
      <c r="J8" s="37">
        <f>(H6+H9)*'Supuestos Generales'!$B$91/2</f>
        <v/>
      </c>
      <c r="K8" s="37">
        <f>(I6+I9)*'Supuestos Generales'!$B$91/2</f>
        <v/>
      </c>
      <c r="L8" s="37">
        <f>(J6+J9)*'Supuestos Generales'!$B$91/2</f>
        <v/>
      </c>
      <c r="M8" s="37">
        <f>(K6+K9)*'Supuestos Generales'!$B$91/2</f>
        <v/>
      </c>
      <c r="N8" s="37">
        <f>(L6+L9)*'Supuestos Generales'!$B$91/2</f>
        <v/>
      </c>
      <c r="O8" s="37">
        <f>(M6+M9)*'Supuestos Generales'!$B$91/2</f>
        <v/>
      </c>
      <c r="P8" s="37">
        <f>(N6+N9)*'Supuestos Generales'!$B$91/2</f>
        <v/>
      </c>
      <c r="Q8" s="37">
        <f>(O6+O9)*'Supuestos Generales'!$B$91/2</f>
        <v/>
      </c>
      <c r="R8" s="37">
        <f>(P6+P9)*'Supuestos Generales'!$B$91/2</f>
        <v/>
      </c>
      <c r="S8" s="37">
        <f>(Q6+Q9)*'Supuestos Generales'!$B$91/2</f>
        <v/>
      </c>
      <c r="T8" s="37">
        <f>(R6+R9)*'Supuestos Generales'!$B$91/2</f>
        <v/>
      </c>
      <c r="U8" s="37">
        <f>(S6+S9)*'Supuestos Generales'!$B$91/2</f>
        <v/>
      </c>
      <c r="V8" s="37">
        <f>(T6+T9)*'Supuestos Generales'!$B$91/2</f>
        <v/>
      </c>
      <c r="W8" s="37">
        <f>(U6+U9)*'Supuestos Generales'!$B$91/2</f>
        <v/>
      </c>
      <c r="X8" s="37">
        <f>(V6+V9)*'Supuestos Generales'!$B$91/2</f>
        <v/>
      </c>
      <c r="Y8" s="37">
        <f>(W6+W9)*'Supuestos Generales'!$B$91/2</f>
        <v/>
      </c>
      <c r="Z8" s="37">
        <f>(X6+X9)*'Supuestos Generales'!$B$91/2</f>
        <v/>
      </c>
      <c r="AA8" s="37">
        <f>(Y6+Y9)*'Supuestos Generales'!$B$91/2</f>
        <v/>
      </c>
      <c r="AB8" s="37">
        <f>(Z6+Z9)*'Supuestos Generales'!$B$91/2</f>
        <v/>
      </c>
      <c r="AC8" s="37">
        <f>(AA6+AA9)*'Supuestos Generales'!$B$91/2</f>
        <v/>
      </c>
      <c r="AD8" s="37">
        <f>(AB6+AB9)*'Supuestos Generales'!$B$91/2</f>
        <v/>
      </c>
      <c r="AE8" s="37">
        <f>(AC6+AC9)*'Supuestos Generales'!$B$91/2</f>
        <v/>
      </c>
      <c r="AF8" s="37">
        <f>(AD6+AD9)*'Supuestos Generales'!$B$91/2</f>
        <v/>
      </c>
      <c r="AG8" s="37">
        <f>(AE6+AE9)*'Supuestos Generales'!$B$91/2</f>
        <v/>
      </c>
      <c r="AH8" s="37">
        <f>(AF6+AF9)*'Supuestos Generales'!$B$91/2</f>
        <v/>
      </c>
      <c r="AI8" s="37">
        <f>(AG6+AG9)*'Supuestos Generales'!$B$91/2</f>
        <v/>
      </c>
      <c r="AJ8" s="37">
        <f>(AH6+AH9)*'Supuestos Generales'!$B$91/2</f>
        <v/>
      </c>
      <c r="AK8" s="37">
        <f>(AI6+AI9)*'Supuestos Generales'!$B$91/2</f>
        <v/>
      </c>
      <c r="AL8" s="37">
        <f>(AJ6+AJ9)*'Supuestos Generales'!$B$91/2</f>
        <v/>
      </c>
      <c r="AM8" s="37">
        <f>(AK6+AK9)*'Supuestos Generales'!$B$91/2</f>
        <v/>
      </c>
      <c r="AN8" s="37">
        <f>(AL6+AL9)*'Supuestos Generales'!$B$91/2</f>
        <v/>
      </c>
      <c r="AO8" s="37">
        <f>(AM6+AM9)*'Supuestos Generales'!$B$91/2</f>
        <v/>
      </c>
      <c r="AP8" s="37">
        <f>(AN6+AN9)*'Supuestos Generales'!$B$91/2</f>
        <v/>
      </c>
      <c r="AQ8" s="37">
        <f>(AO6+AO9)*'Supuestos Generales'!$B$91/2</f>
        <v/>
      </c>
      <c r="AR8" s="37">
        <f>(AP6+AP9)*'Supuestos Generales'!$B$91/2</f>
        <v/>
      </c>
      <c r="AS8" s="37">
        <f>(AQ6+AQ9)*'Supuestos Generales'!$B$91/2</f>
        <v/>
      </c>
      <c r="AT8" s="37">
        <f>(AR6+AR9)*'Supuestos Generales'!$B$91/2</f>
        <v/>
      </c>
      <c r="AU8" s="37">
        <f>(AS6+AS9)*'Supuestos Generales'!$B$91/2</f>
        <v/>
      </c>
      <c r="AV8" s="37">
        <f>(AT6+AT9)*'Supuestos Generales'!$B$91/2</f>
        <v/>
      </c>
      <c r="AW8" s="37">
        <f>(AU6+AU9)*'Supuestos Generales'!$B$91/2</f>
        <v/>
      </c>
      <c r="AX8" s="37">
        <f>(AV6+AV9)*'Supuestos Generales'!$B$91/2</f>
        <v/>
      </c>
      <c r="AY8" s="37">
        <f>(AW6+AW9)*'Supuestos Generales'!$B$91/2</f>
        <v/>
      </c>
      <c r="AZ8" s="37">
        <f>(AX6+AX9)*'Supuestos Generales'!$B$91/2</f>
        <v/>
      </c>
      <c r="BA8" s="37">
        <f>(AY6+AY9)*'Supuestos Generales'!$B$91/2</f>
        <v/>
      </c>
      <c r="BB8" s="37">
        <f>(AZ6+AZ9)*'Supuestos Generales'!$B$91/2</f>
        <v/>
      </c>
      <c r="BC8" s="37">
        <f>(BA6+BA9)*'Supuestos Generales'!$B$91/2</f>
        <v/>
      </c>
      <c r="BD8" s="37">
        <f>(BB6+BB9)*'Supuestos Generales'!$B$91/2</f>
        <v/>
      </c>
      <c r="BE8" s="37">
        <f>(BC6+BC9)*'Supuestos Generales'!$B$91/2</f>
        <v/>
      </c>
      <c r="BF8" s="37">
        <f>(BD6+BD9)*'Supuestos Generales'!$B$91/2</f>
        <v/>
      </c>
      <c r="BG8" s="37">
        <f>(BE6+BE9)*'Supuestos Generales'!$B$91/2</f>
        <v/>
      </c>
      <c r="BH8" s="37">
        <f>(BF6+BF9)*'Supuestos Generales'!$B$91/2</f>
        <v/>
      </c>
      <c r="BI8" s="37">
        <f>(BG6+BG9)*'Supuestos Generales'!$B$91/2</f>
        <v/>
      </c>
    </row>
    <row r="9">
      <c r="A9" s="353" t="inlineStr">
        <is>
          <t>Restaurantes vía alianzas</t>
        </is>
      </c>
      <c r="B9" s="37">
        <f>IF(AND(Palancas!$B$13=1,B$3&gt;=Palancas!$B$15),MIN(Palancas!$B$16,ROUND(Palancas!$B$16*(B$3-Palancas!$B$15+1)/Palancas!$B$10,0)),0)+IF(AND(Palancas!$F$13=1,B$3&gt;=Palancas!$F$15),MIN(Palancas!$F$16,ROUND(Palancas!$F$16*(B$3-Palancas!$F$15+1)/Palancas!$B$10,0)),0)+IF(AND(Palancas!$B$21=1,B$3&gt;=Palancas!$B$23),MIN(Palancas!$B$24,ROUND(Palancas!$B$24*(B$3-Palancas!$B$23+1)/Palancas!$B$10,0)),0)+IF(AND(Palancas!$F$21=1,B$3&gt;=Palancas!$F$23),MIN(Palancas!$F$24,ROUND(Palancas!$F$24*(B$3-Palancas!$F$23+1)/Palancas!$B$10,0)),0)+IF(AND(Palancas!$B$29=1,B$3&gt;=Palancas!$B$31,B$3&lt;=Palancas!$B$34),MIN(Palancas!$B$32,ROUND(Palancas!$B$32*(B$3-Palancas!$B$31+1)/Palancas!$B$10,0)),0)</f>
        <v/>
      </c>
      <c r="C9" s="37">
        <f>IF(AND(Palancas!$B$13=1,C$3&gt;=Palancas!$B$15),MIN(Palancas!$B$16,ROUND(Palancas!$B$16*(C$3-Palancas!$B$15+1)/Palancas!$B$10,0)),0)+IF(AND(Palancas!$F$13=1,C$3&gt;=Palancas!$F$15),MIN(Palancas!$F$16,ROUND(Palancas!$F$16*(C$3-Palancas!$F$15+1)/Palancas!$B$10,0)),0)+IF(AND(Palancas!$B$21=1,C$3&gt;=Palancas!$B$23),MIN(Palancas!$B$24,ROUND(Palancas!$B$24*(C$3-Palancas!$B$23+1)/Palancas!$B$10,0)),0)+IF(AND(Palancas!$F$21=1,C$3&gt;=Palancas!$F$23),MIN(Palancas!$F$24,ROUND(Palancas!$F$24*(C$3-Palancas!$F$23+1)/Palancas!$B$10,0)),0)+IF(AND(Palancas!$B$29=1,C$3&gt;=Palancas!$B$31,C$3&lt;=Palancas!$B$34),MIN(Palancas!$B$32,ROUND(Palancas!$B$32*(C$3-Palancas!$B$31+1)/Palancas!$B$10,0)),0)</f>
        <v/>
      </c>
      <c r="D9" s="37">
        <f>IF(AND(Palancas!$B$13=1,D$3&gt;=Palancas!$B$15),MIN(Palancas!$B$16,ROUND(Palancas!$B$16*(D$3-Palancas!$B$15+1)/Palancas!$B$10,0)),0)+IF(AND(Palancas!$F$13=1,D$3&gt;=Palancas!$F$15),MIN(Palancas!$F$16,ROUND(Palancas!$F$16*(D$3-Palancas!$F$15+1)/Palancas!$B$10,0)),0)+IF(AND(Palancas!$B$21=1,D$3&gt;=Palancas!$B$23),MIN(Palancas!$B$24,ROUND(Palancas!$B$24*(D$3-Palancas!$B$23+1)/Palancas!$B$10,0)),0)+IF(AND(Palancas!$F$21=1,D$3&gt;=Palancas!$F$23),MIN(Palancas!$F$24,ROUND(Palancas!$F$24*(D$3-Palancas!$F$23+1)/Palancas!$B$10,0)),0)+IF(AND(Palancas!$B$29=1,D$3&gt;=Palancas!$B$31,D$3&lt;=Palancas!$B$34),MIN(Palancas!$B$32,ROUND(Palancas!$B$32*(D$3-Palancas!$B$31+1)/Palancas!$B$10,0)),0)</f>
        <v/>
      </c>
      <c r="E9" s="37">
        <f>IF(AND(Palancas!$B$13=1,E$3&gt;=Palancas!$B$15),MIN(Palancas!$B$16,ROUND(Palancas!$B$16*(E$3-Palancas!$B$15+1)/Palancas!$B$10,0)),0)+IF(AND(Palancas!$F$13=1,E$3&gt;=Palancas!$F$15),MIN(Palancas!$F$16,ROUND(Palancas!$F$16*(E$3-Palancas!$F$15+1)/Palancas!$B$10,0)),0)+IF(AND(Palancas!$B$21=1,E$3&gt;=Palancas!$B$23),MIN(Palancas!$B$24,ROUND(Palancas!$B$24*(E$3-Palancas!$B$23+1)/Palancas!$B$10,0)),0)+IF(AND(Palancas!$F$21=1,E$3&gt;=Palancas!$F$23),MIN(Palancas!$F$24,ROUND(Palancas!$F$24*(E$3-Palancas!$F$23+1)/Palancas!$B$10,0)),0)+IF(AND(Palancas!$B$29=1,E$3&gt;=Palancas!$B$31,E$3&lt;=Palancas!$B$34),MIN(Palancas!$B$32,ROUND(Palancas!$B$32*(E$3-Palancas!$B$31+1)/Palancas!$B$10,0)),0)</f>
        <v/>
      </c>
      <c r="F9" s="37">
        <f>IF(AND(Palancas!$B$13=1,F$3&gt;=Palancas!$B$15),MIN(Palancas!$B$16,ROUND(Palancas!$B$16*(F$3-Palancas!$B$15+1)/Palancas!$B$10,0)),0)+IF(AND(Palancas!$F$13=1,F$3&gt;=Palancas!$F$15),MIN(Palancas!$F$16,ROUND(Palancas!$F$16*(F$3-Palancas!$F$15+1)/Palancas!$B$10,0)),0)+IF(AND(Palancas!$B$21=1,F$3&gt;=Palancas!$B$23),MIN(Palancas!$B$24,ROUND(Palancas!$B$24*(F$3-Palancas!$B$23+1)/Palancas!$B$10,0)),0)+IF(AND(Palancas!$F$21=1,F$3&gt;=Palancas!$F$23),MIN(Palancas!$F$24,ROUND(Palancas!$F$24*(F$3-Palancas!$F$23+1)/Palancas!$B$10,0)),0)+IF(AND(Palancas!$B$29=1,F$3&gt;=Palancas!$B$31,F$3&lt;=Palancas!$B$34),MIN(Palancas!$B$32,ROUND(Palancas!$B$32*(F$3-Palancas!$B$31+1)/Palancas!$B$10,0)),0)</f>
        <v/>
      </c>
      <c r="G9" s="37">
        <f>IF(AND(Palancas!$B$13=1,G$3&gt;=Palancas!$B$15),MIN(Palancas!$B$16,ROUND(Palancas!$B$16*(G$3-Palancas!$B$15+1)/Palancas!$B$10,0)),0)+IF(AND(Palancas!$F$13=1,G$3&gt;=Palancas!$F$15),MIN(Palancas!$F$16,ROUND(Palancas!$F$16*(G$3-Palancas!$F$15+1)/Palancas!$B$10,0)),0)+IF(AND(Palancas!$B$21=1,G$3&gt;=Palancas!$B$23),MIN(Palancas!$B$24,ROUND(Palancas!$B$24*(G$3-Palancas!$B$23+1)/Palancas!$B$10,0)),0)+IF(AND(Palancas!$F$21=1,G$3&gt;=Palancas!$F$23),MIN(Palancas!$F$24,ROUND(Palancas!$F$24*(G$3-Palancas!$F$23+1)/Palancas!$B$10,0)),0)+IF(AND(Palancas!$B$29=1,G$3&gt;=Palancas!$B$31,G$3&lt;=Palancas!$B$34),MIN(Palancas!$B$32,ROUND(Palancas!$B$32*(G$3-Palancas!$B$31+1)/Palancas!$B$10,0)),0)</f>
        <v/>
      </c>
      <c r="H9" s="37">
        <f>IF(AND(Palancas!$B$13=1,H$3&gt;=Palancas!$B$15),MIN(Palancas!$B$16,ROUND(Palancas!$B$16*(H$3-Palancas!$B$15+1)/Palancas!$B$10,0)),0)+IF(AND(Palancas!$F$13=1,H$3&gt;=Palancas!$F$15),MIN(Palancas!$F$16,ROUND(Palancas!$F$16*(H$3-Palancas!$F$15+1)/Palancas!$B$10,0)),0)+IF(AND(Palancas!$B$21=1,H$3&gt;=Palancas!$B$23),MIN(Palancas!$B$24,ROUND(Palancas!$B$24*(H$3-Palancas!$B$23+1)/Palancas!$B$10,0)),0)+IF(AND(Palancas!$F$21=1,H$3&gt;=Palancas!$F$23),MIN(Palancas!$F$24,ROUND(Palancas!$F$24*(H$3-Palancas!$F$23+1)/Palancas!$B$10,0)),0)+IF(AND(Palancas!$B$29=1,H$3&gt;=Palancas!$B$31,H$3&lt;=Palancas!$B$34),MIN(Palancas!$B$32,ROUND(Palancas!$B$32*(H$3-Palancas!$B$31+1)/Palancas!$B$10,0)),0)</f>
        <v/>
      </c>
      <c r="I9" s="37">
        <f>IF(AND(Palancas!$B$13=1,I$3&gt;=Palancas!$B$15),MIN(Palancas!$B$16,ROUND(Palancas!$B$16*(I$3-Palancas!$B$15+1)/Palancas!$B$10,0)),0)+IF(AND(Palancas!$F$13=1,I$3&gt;=Palancas!$F$15),MIN(Palancas!$F$16,ROUND(Palancas!$F$16*(I$3-Palancas!$F$15+1)/Palancas!$B$10,0)),0)+IF(AND(Palancas!$B$21=1,I$3&gt;=Palancas!$B$23),MIN(Palancas!$B$24,ROUND(Palancas!$B$24*(I$3-Palancas!$B$23+1)/Palancas!$B$10,0)),0)+IF(AND(Palancas!$F$21=1,I$3&gt;=Palancas!$F$23),MIN(Palancas!$F$24,ROUND(Palancas!$F$24*(I$3-Palancas!$F$23+1)/Palancas!$B$10,0)),0)+IF(AND(Palancas!$B$29=1,I$3&gt;=Palancas!$B$31,I$3&lt;=Palancas!$B$34),MIN(Palancas!$B$32,ROUND(Palancas!$B$32*(I$3-Palancas!$B$31+1)/Palancas!$B$10,0)),0)</f>
        <v/>
      </c>
      <c r="J9" s="37">
        <f>IF(AND(Palancas!$B$13=1,J$3&gt;=Palancas!$B$15),MIN(Palancas!$B$16,ROUND(Palancas!$B$16*(J$3-Palancas!$B$15+1)/Palancas!$B$10,0)),0)+IF(AND(Palancas!$F$13=1,J$3&gt;=Palancas!$F$15),MIN(Palancas!$F$16,ROUND(Palancas!$F$16*(J$3-Palancas!$F$15+1)/Palancas!$B$10,0)),0)+IF(AND(Palancas!$B$21=1,J$3&gt;=Palancas!$B$23),MIN(Palancas!$B$24,ROUND(Palancas!$B$24*(J$3-Palancas!$B$23+1)/Palancas!$B$10,0)),0)+IF(AND(Palancas!$F$21=1,J$3&gt;=Palancas!$F$23),MIN(Palancas!$F$24,ROUND(Palancas!$F$24*(J$3-Palancas!$F$23+1)/Palancas!$B$10,0)),0)+IF(AND(Palancas!$B$29=1,J$3&gt;=Palancas!$B$31,J$3&lt;=Palancas!$B$34),MIN(Palancas!$B$32,ROUND(Palancas!$B$32*(J$3-Palancas!$B$31+1)/Palancas!$B$10,0)),0)</f>
        <v/>
      </c>
      <c r="K9" s="37">
        <f>IF(AND(Palancas!$B$13=1,K$3&gt;=Palancas!$B$15),MIN(Palancas!$B$16,ROUND(Palancas!$B$16*(K$3-Palancas!$B$15+1)/Palancas!$B$10,0)),0)+IF(AND(Palancas!$F$13=1,K$3&gt;=Palancas!$F$15),MIN(Palancas!$F$16,ROUND(Palancas!$F$16*(K$3-Palancas!$F$15+1)/Palancas!$B$10,0)),0)+IF(AND(Palancas!$B$21=1,K$3&gt;=Palancas!$B$23),MIN(Palancas!$B$24,ROUND(Palancas!$B$24*(K$3-Palancas!$B$23+1)/Palancas!$B$10,0)),0)+IF(AND(Palancas!$F$21=1,K$3&gt;=Palancas!$F$23),MIN(Palancas!$F$24,ROUND(Palancas!$F$24*(K$3-Palancas!$F$23+1)/Palancas!$B$10,0)),0)+IF(AND(Palancas!$B$29=1,K$3&gt;=Palancas!$B$31,K$3&lt;=Palancas!$B$34),MIN(Palancas!$B$32,ROUND(Palancas!$B$32*(K$3-Palancas!$B$31+1)/Palancas!$B$10,0)),0)</f>
        <v/>
      </c>
      <c r="L9" s="37">
        <f>IF(AND(Palancas!$B$13=1,L$3&gt;=Palancas!$B$15),MIN(Palancas!$B$16,ROUND(Palancas!$B$16*(L$3-Palancas!$B$15+1)/Palancas!$B$10,0)),0)+IF(AND(Palancas!$F$13=1,L$3&gt;=Palancas!$F$15),MIN(Palancas!$F$16,ROUND(Palancas!$F$16*(L$3-Palancas!$F$15+1)/Palancas!$B$10,0)),0)+IF(AND(Palancas!$B$21=1,L$3&gt;=Palancas!$B$23),MIN(Palancas!$B$24,ROUND(Palancas!$B$24*(L$3-Palancas!$B$23+1)/Palancas!$B$10,0)),0)+IF(AND(Palancas!$F$21=1,L$3&gt;=Palancas!$F$23),MIN(Palancas!$F$24,ROUND(Palancas!$F$24*(L$3-Palancas!$F$23+1)/Palancas!$B$10,0)),0)+IF(AND(Palancas!$B$29=1,L$3&gt;=Palancas!$B$31,L$3&lt;=Palancas!$B$34),MIN(Palancas!$B$32,ROUND(Palancas!$B$32*(L$3-Palancas!$B$31+1)/Palancas!$B$10,0)),0)</f>
        <v/>
      </c>
      <c r="M9" s="37">
        <f>IF(AND(Palancas!$B$13=1,M$3&gt;=Palancas!$B$15),MIN(Palancas!$B$16,ROUND(Palancas!$B$16*(M$3-Palancas!$B$15+1)/Palancas!$B$10,0)),0)+IF(AND(Palancas!$F$13=1,M$3&gt;=Palancas!$F$15),MIN(Palancas!$F$16,ROUND(Palancas!$F$16*(M$3-Palancas!$F$15+1)/Palancas!$B$10,0)),0)+IF(AND(Palancas!$B$21=1,M$3&gt;=Palancas!$B$23),MIN(Palancas!$B$24,ROUND(Palancas!$B$24*(M$3-Palancas!$B$23+1)/Palancas!$B$10,0)),0)+IF(AND(Palancas!$F$21=1,M$3&gt;=Palancas!$F$23),MIN(Palancas!$F$24,ROUND(Palancas!$F$24*(M$3-Palancas!$F$23+1)/Palancas!$B$10,0)),0)+IF(AND(Palancas!$B$29=1,M$3&gt;=Palancas!$B$31,M$3&lt;=Palancas!$B$34),MIN(Palancas!$B$32,ROUND(Palancas!$B$32*(M$3-Palancas!$B$31+1)/Palancas!$B$10,0)),0)</f>
        <v/>
      </c>
      <c r="N9" s="37">
        <f>IF(AND(Palancas!$B$13=1,N$3&gt;=Palancas!$B$15),MIN(Palancas!$B$16,ROUND(Palancas!$B$16*(N$3-Palancas!$B$15+1)/Palancas!$B$10,0)),0)+IF(AND(Palancas!$F$13=1,N$3&gt;=Palancas!$F$15),MIN(Palancas!$F$16,ROUND(Palancas!$F$16*(N$3-Palancas!$F$15+1)/Palancas!$B$10,0)),0)+IF(AND(Palancas!$B$21=1,N$3&gt;=Palancas!$B$23),MIN(Palancas!$B$24,ROUND(Palancas!$B$24*(N$3-Palancas!$B$23+1)/Palancas!$B$10,0)),0)+IF(AND(Palancas!$F$21=1,N$3&gt;=Palancas!$F$23),MIN(Palancas!$F$24,ROUND(Palancas!$F$24*(N$3-Palancas!$F$23+1)/Palancas!$B$10,0)),0)+IF(AND(Palancas!$B$29=1,N$3&gt;=Palancas!$B$31,N$3&lt;=Palancas!$B$34),MIN(Palancas!$B$32,ROUND(Palancas!$B$32*(N$3-Palancas!$B$31+1)/Palancas!$B$10,0)),0)</f>
        <v/>
      </c>
      <c r="O9" s="37">
        <f>IF(AND(Palancas!$B$13=1,O$3&gt;=Palancas!$B$15),MIN(Palancas!$B$16,ROUND(Palancas!$B$16*(O$3-Palancas!$B$15+1)/Palancas!$B$10,0)),0)+IF(AND(Palancas!$F$13=1,O$3&gt;=Palancas!$F$15),MIN(Palancas!$F$16,ROUND(Palancas!$F$16*(O$3-Palancas!$F$15+1)/Palancas!$B$10,0)),0)+IF(AND(Palancas!$B$21=1,O$3&gt;=Palancas!$B$23),MIN(Palancas!$B$24,ROUND(Palancas!$B$24*(O$3-Palancas!$B$23+1)/Palancas!$B$10,0)),0)+IF(AND(Palancas!$F$21=1,O$3&gt;=Palancas!$F$23),MIN(Palancas!$F$24,ROUND(Palancas!$F$24*(O$3-Palancas!$F$23+1)/Palancas!$B$10,0)),0)+IF(AND(Palancas!$B$29=1,O$3&gt;=Palancas!$B$31,O$3&lt;=Palancas!$B$34),MIN(Palancas!$B$32,ROUND(Palancas!$B$32*(O$3-Palancas!$B$31+1)/Palancas!$B$10,0)),0)</f>
        <v/>
      </c>
      <c r="P9" s="37">
        <f>IF(AND(Palancas!$B$13=1,P$3&gt;=Palancas!$B$15),MIN(Palancas!$B$16,ROUND(Palancas!$B$16*(P$3-Palancas!$B$15+1)/Palancas!$B$10,0)),0)+IF(AND(Palancas!$F$13=1,P$3&gt;=Palancas!$F$15),MIN(Palancas!$F$16,ROUND(Palancas!$F$16*(P$3-Palancas!$F$15+1)/Palancas!$B$10,0)),0)+IF(AND(Palancas!$B$21=1,P$3&gt;=Palancas!$B$23),MIN(Palancas!$B$24,ROUND(Palancas!$B$24*(P$3-Palancas!$B$23+1)/Palancas!$B$10,0)),0)+IF(AND(Palancas!$F$21=1,P$3&gt;=Palancas!$F$23),MIN(Palancas!$F$24,ROUND(Palancas!$F$24*(P$3-Palancas!$F$23+1)/Palancas!$B$10,0)),0)+IF(AND(Palancas!$B$29=1,P$3&gt;=Palancas!$B$31,P$3&lt;=Palancas!$B$34),MIN(Palancas!$B$32,ROUND(Palancas!$B$32*(P$3-Palancas!$B$31+1)/Palancas!$B$10,0)),0)</f>
        <v/>
      </c>
      <c r="Q9" s="37">
        <f>IF(AND(Palancas!$B$13=1,Q$3&gt;=Palancas!$B$15),MIN(Palancas!$B$16,ROUND(Palancas!$B$16*(Q$3-Palancas!$B$15+1)/Palancas!$B$10,0)),0)+IF(AND(Palancas!$F$13=1,Q$3&gt;=Palancas!$F$15),MIN(Palancas!$F$16,ROUND(Palancas!$F$16*(Q$3-Palancas!$F$15+1)/Palancas!$B$10,0)),0)+IF(AND(Palancas!$B$21=1,Q$3&gt;=Palancas!$B$23),MIN(Palancas!$B$24,ROUND(Palancas!$B$24*(Q$3-Palancas!$B$23+1)/Palancas!$B$10,0)),0)+IF(AND(Palancas!$F$21=1,Q$3&gt;=Palancas!$F$23),MIN(Palancas!$F$24,ROUND(Palancas!$F$24*(Q$3-Palancas!$F$23+1)/Palancas!$B$10,0)),0)+IF(AND(Palancas!$B$29=1,Q$3&gt;=Palancas!$B$31,Q$3&lt;=Palancas!$B$34),MIN(Palancas!$B$32,ROUND(Palancas!$B$32*(Q$3-Palancas!$B$31+1)/Palancas!$B$10,0)),0)</f>
        <v/>
      </c>
      <c r="R9" s="37">
        <f>IF(AND(Palancas!$B$13=1,R$3&gt;=Palancas!$B$15),MIN(Palancas!$B$16,ROUND(Palancas!$B$16*(R$3-Palancas!$B$15+1)/Palancas!$B$10,0)),0)+IF(AND(Palancas!$F$13=1,R$3&gt;=Palancas!$F$15),MIN(Palancas!$F$16,ROUND(Palancas!$F$16*(R$3-Palancas!$F$15+1)/Palancas!$B$10,0)),0)+IF(AND(Palancas!$B$21=1,R$3&gt;=Palancas!$B$23),MIN(Palancas!$B$24,ROUND(Palancas!$B$24*(R$3-Palancas!$B$23+1)/Palancas!$B$10,0)),0)+IF(AND(Palancas!$F$21=1,R$3&gt;=Palancas!$F$23),MIN(Palancas!$F$24,ROUND(Palancas!$F$24*(R$3-Palancas!$F$23+1)/Palancas!$B$10,0)),0)+IF(AND(Palancas!$B$29=1,R$3&gt;=Palancas!$B$31,R$3&lt;=Palancas!$B$34),MIN(Palancas!$B$32,ROUND(Palancas!$B$32*(R$3-Palancas!$B$31+1)/Palancas!$B$10,0)),0)</f>
        <v/>
      </c>
      <c r="S9" s="37">
        <f>IF(AND(Palancas!$B$13=1,S$3&gt;=Palancas!$B$15),MIN(Palancas!$B$16,ROUND(Palancas!$B$16*(S$3-Palancas!$B$15+1)/Palancas!$B$10,0)),0)+IF(AND(Palancas!$F$13=1,S$3&gt;=Palancas!$F$15),MIN(Palancas!$F$16,ROUND(Palancas!$F$16*(S$3-Palancas!$F$15+1)/Palancas!$B$10,0)),0)+IF(AND(Palancas!$B$21=1,S$3&gt;=Palancas!$B$23),MIN(Palancas!$B$24,ROUND(Palancas!$B$24*(S$3-Palancas!$B$23+1)/Palancas!$B$10,0)),0)+IF(AND(Palancas!$F$21=1,S$3&gt;=Palancas!$F$23),MIN(Palancas!$F$24,ROUND(Palancas!$F$24*(S$3-Palancas!$F$23+1)/Palancas!$B$10,0)),0)+IF(AND(Palancas!$B$29=1,S$3&gt;=Palancas!$B$31,S$3&lt;=Palancas!$B$34),MIN(Palancas!$B$32,ROUND(Palancas!$B$32*(S$3-Palancas!$B$31+1)/Palancas!$B$10,0)),0)</f>
        <v/>
      </c>
      <c r="T9" s="37">
        <f>IF(AND(Palancas!$B$13=1,T$3&gt;=Palancas!$B$15),MIN(Palancas!$B$16,ROUND(Palancas!$B$16*(T$3-Palancas!$B$15+1)/Palancas!$B$10,0)),0)+IF(AND(Palancas!$F$13=1,T$3&gt;=Palancas!$F$15),MIN(Palancas!$F$16,ROUND(Palancas!$F$16*(T$3-Palancas!$F$15+1)/Palancas!$B$10,0)),0)+IF(AND(Palancas!$B$21=1,T$3&gt;=Palancas!$B$23),MIN(Palancas!$B$24,ROUND(Palancas!$B$24*(T$3-Palancas!$B$23+1)/Palancas!$B$10,0)),0)+IF(AND(Palancas!$F$21=1,T$3&gt;=Palancas!$F$23),MIN(Palancas!$F$24,ROUND(Palancas!$F$24*(T$3-Palancas!$F$23+1)/Palancas!$B$10,0)),0)+IF(AND(Palancas!$B$29=1,T$3&gt;=Palancas!$B$31,T$3&lt;=Palancas!$B$34),MIN(Palancas!$B$32,ROUND(Palancas!$B$32*(T$3-Palancas!$B$31+1)/Palancas!$B$10,0)),0)</f>
        <v/>
      </c>
      <c r="U9" s="37">
        <f>IF(AND(Palancas!$B$13=1,U$3&gt;=Palancas!$B$15),MIN(Palancas!$B$16,ROUND(Palancas!$B$16*(U$3-Palancas!$B$15+1)/Palancas!$B$10,0)),0)+IF(AND(Palancas!$F$13=1,U$3&gt;=Palancas!$F$15),MIN(Palancas!$F$16,ROUND(Palancas!$F$16*(U$3-Palancas!$F$15+1)/Palancas!$B$10,0)),0)+IF(AND(Palancas!$B$21=1,U$3&gt;=Palancas!$B$23),MIN(Palancas!$B$24,ROUND(Palancas!$B$24*(U$3-Palancas!$B$23+1)/Palancas!$B$10,0)),0)+IF(AND(Palancas!$F$21=1,U$3&gt;=Palancas!$F$23),MIN(Palancas!$F$24,ROUND(Palancas!$F$24*(U$3-Palancas!$F$23+1)/Palancas!$B$10,0)),0)+IF(AND(Palancas!$B$29=1,U$3&gt;=Palancas!$B$31,U$3&lt;=Palancas!$B$34),MIN(Palancas!$B$32,ROUND(Palancas!$B$32*(U$3-Palancas!$B$31+1)/Palancas!$B$10,0)),0)</f>
        <v/>
      </c>
      <c r="V9" s="37">
        <f>IF(AND(Palancas!$B$13=1,V$3&gt;=Palancas!$B$15),MIN(Palancas!$B$16,ROUND(Palancas!$B$16*(V$3-Palancas!$B$15+1)/Palancas!$B$10,0)),0)+IF(AND(Palancas!$F$13=1,V$3&gt;=Palancas!$F$15),MIN(Palancas!$F$16,ROUND(Palancas!$F$16*(V$3-Palancas!$F$15+1)/Palancas!$B$10,0)),0)+IF(AND(Palancas!$B$21=1,V$3&gt;=Palancas!$B$23),MIN(Palancas!$B$24,ROUND(Palancas!$B$24*(V$3-Palancas!$B$23+1)/Palancas!$B$10,0)),0)+IF(AND(Palancas!$F$21=1,V$3&gt;=Palancas!$F$23),MIN(Palancas!$F$24,ROUND(Palancas!$F$24*(V$3-Palancas!$F$23+1)/Palancas!$B$10,0)),0)+IF(AND(Palancas!$B$29=1,V$3&gt;=Palancas!$B$31,V$3&lt;=Palancas!$B$34),MIN(Palancas!$B$32,ROUND(Palancas!$B$32*(V$3-Palancas!$B$31+1)/Palancas!$B$10,0)),0)</f>
        <v/>
      </c>
      <c r="W9" s="37">
        <f>IF(AND(Palancas!$B$13=1,W$3&gt;=Palancas!$B$15),MIN(Palancas!$B$16,ROUND(Palancas!$B$16*(W$3-Palancas!$B$15+1)/Palancas!$B$10,0)),0)+IF(AND(Palancas!$F$13=1,W$3&gt;=Palancas!$F$15),MIN(Palancas!$F$16,ROUND(Palancas!$F$16*(W$3-Palancas!$F$15+1)/Palancas!$B$10,0)),0)+IF(AND(Palancas!$B$21=1,W$3&gt;=Palancas!$B$23),MIN(Palancas!$B$24,ROUND(Palancas!$B$24*(W$3-Palancas!$B$23+1)/Palancas!$B$10,0)),0)+IF(AND(Palancas!$F$21=1,W$3&gt;=Palancas!$F$23),MIN(Palancas!$F$24,ROUND(Palancas!$F$24*(W$3-Palancas!$F$23+1)/Palancas!$B$10,0)),0)+IF(AND(Palancas!$B$29=1,W$3&gt;=Palancas!$B$31,W$3&lt;=Palancas!$B$34),MIN(Palancas!$B$32,ROUND(Palancas!$B$32*(W$3-Palancas!$B$31+1)/Palancas!$B$10,0)),0)</f>
        <v/>
      </c>
      <c r="X9" s="37">
        <f>IF(AND(Palancas!$B$13=1,X$3&gt;=Palancas!$B$15),MIN(Palancas!$B$16,ROUND(Palancas!$B$16*(X$3-Palancas!$B$15+1)/Palancas!$B$10,0)),0)+IF(AND(Palancas!$F$13=1,X$3&gt;=Palancas!$F$15),MIN(Palancas!$F$16,ROUND(Palancas!$F$16*(X$3-Palancas!$F$15+1)/Palancas!$B$10,0)),0)+IF(AND(Palancas!$B$21=1,X$3&gt;=Palancas!$B$23),MIN(Palancas!$B$24,ROUND(Palancas!$B$24*(X$3-Palancas!$B$23+1)/Palancas!$B$10,0)),0)+IF(AND(Palancas!$F$21=1,X$3&gt;=Palancas!$F$23),MIN(Palancas!$F$24,ROUND(Palancas!$F$24*(X$3-Palancas!$F$23+1)/Palancas!$B$10,0)),0)+IF(AND(Palancas!$B$29=1,X$3&gt;=Palancas!$B$31,X$3&lt;=Palancas!$B$34),MIN(Palancas!$B$32,ROUND(Palancas!$B$32*(X$3-Palancas!$B$31+1)/Palancas!$B$10,0)),0)</f>
        <v/>
      </c>
      <c r="Y9" s="37">
        <f>IF(AND(Palancas!$B$13=1,Y$3&gt;=Palancas!$B$15),MIN(Palancas!$B$16,ROUND(Palancas!$B$16*(Y$3-Palancas!$B$15+1)/Palancas!$B$10,0)),0)+IF(AND(Palancas!$F$13=1,Y$3&gt;=Palancas!$F$15),MIN(Palancas!$F$16,ROUND(Palancas!$F$16*(Y$3-Palancas!$F$15+1)/Palancas!$B$10,0)),0)+IF(AND(Palancas!$B$21=1,Y$3&gt;=Palancas!$B$23),MIN(Palancas!$B$24,ROUND(Palancas!$B$24*(Y$3-Palancas!$B$23+1)/Palancas!$B$10,0)),0)+IF(AND(Palancas!$F$21=1,Y$3&gt;=Palancas!$F$23),MIN(Palancas!$F$24,ROUND(Palancas!$F$24*(Y$3-Palancas!$F$23+1)/Palancas!$B$10,0)),0)+IF(AND(Palancas!$B$29=1,Y$3&gt;=Palancas!$B$31,Y$3&lt;=Palancas!$B$34),MIN(Palancas!$B$32,ROUND(Palancas!$B$32*(Y$3-Palancas!$B$31+1)/Palancas!$B$10,0)),0)</f>
        <v/>
      </c>
      <c r="Z9" s="37">
        <f>IF(AND(Palancas!$B$13=1,Z$3&gt;=Palancas!$B$15),MIN(Palancas!$B$16,ROUND(Palancas!$B$16*(Z$3-Palancas!$B$15+1)/Palancas!$B$10,0)),0)+IF(AND(Palancas!$F$13=1,Z$3&gt;=Palancas!$F$15),MIN(Palancas!$F$16,ROUND(Palancas!$F$16*(Z$3-Palancas!$F$15+1)/Palancas!$B$10,0)),0)+IF(AND(Palancas!$B$21=1,Z$3&gt;=Palancas!$B$23),MIN(Palancas!$B$24,ROUND(Palancas!$B$24*(Z$3-Palancas!$B$23+1)/Palancas!$B$10,0)),0)+IF(AND(Palancas!$F$21=1,Z$3&gt;=Palancas!$F$23),MIN(Palancas!$F$24,ROUND(Palancas!$F$24*(Z$3-Palancas!$F$23+1)/Palancas!$B$10,0)),0)+IF(AND(Palancas!$B$29=1,Z$3&gt;=Palancas!$B$31,Z$3&lt;=Palancas!$B$34),MIN(Palancas!$B$32,ROUND(Palancas!$B$32*(Z$3-Palancas!$B$31+1)/Palancas!$B$10,0)),0)</f>
        <v/>
      </c>
      <c r="AA9" s="37">
        <f>IF(AND(Palancas!$B$13=1,AA$3&gt;=Palancas!$B$15),MIN(Palancas!$B$16,ROUND(Palancas!$B$16*(AA$3-Palancas!$B$15+1)/Palancas!$B$10,0)),0)+IF(AND(Palancas!$F$13=1,AA$3&gt;=Palancas!$F$15),MIN(Palancas!$F$16,ROUND(Palancas!$F$16*(AA$3-Palancas!$F$15+1)/Palancas!$B$10,0)),0)+IF(AND(Palancas!$B$21=1,AA$3&gt;=Palancas!$B$23),MIN(Palancas!$B$24,ROUND(Palancas!$B$24*(AA$3-Palancas!$B$23+1)/Palancas!$B$10,0)),0)+IF(AND(Palancas!$F$21=1,AA$3&gt;=Palancas!$F$23),MIN(Palancas!$F$24,ROUND(Palancas!$F$24*(AA$3-Palancas!$F$23+1)/Palancas!$B$10,0)),0)+IF(AND(Palancas!$B$29=1,AA$3&gt;=Palancas!$B$31,AA$3&lt;=Palancas!$B$34),MIN(Palancas!$B$32,ROUND(Palancas!$B$32*(AA$3-Palancas!$B$31+1)/Palancas!$B$10,0)),0)</f>
        <v/>
      </c>
      <c r="AB9" s="37">
        <f>IF(AND(Palancas!$B$13=1,AB$3&gt;=Palancas!$B$15),MIN(Palancas!$B$16,ROUND(Palancas!$B$16*(AB$3-Palancas!$B$15+1)/Palancas!$B$10,0)),0)+IF(AND(Palancas!$F$13=1,AB$3&gt;=Palancas!$F$15),MIN(Palancas!$F$16,ROUND(Palancas!$F$16*(AB$3-Palancas!$F$15+1)/Palancas!$B$10,0)),0)+IF(AND(Palancas!$B$21=1,AB$3&gt;=Palancas!$B$23),MIN(Palancas!$B$24,ROUND(Palancas!$B$24*(AB$3-Palancas!$B$23+1)/Palancas!$B$10,0)),0)+IF(AND(Palancas!$F$21=1,AB$3&gt;=Palancas!$F$23),MIN(Palancas!$F$24,ROUND(Palancas!$F$24*(AB$3-Palancas!$F$23+1)/Palancas!$B$10,0)),0)+IF(AND(Palancas!$B$29=1,AB$3&gt;=Palancas!$B$31,AB$3&lt;=Palancas!$B$34),MIN(Palancas!$B$32,ROUND(Palancas!$B$32*(AB$3-Palancas!$B$31+1)/Palancas!$B$10,0)),0)</f>
        <v/>
      </c>
      <c r="AC9" s="37">
        <f>IF(AND(Palancas!$B$13=1,AC$3&gt;=Palancas!$B$15),MIN(Palancas!$B$16,ROUND(Palancas!$B$16*(AC$3-Palancas!$B$15+1)/Palancas!$B$10,0)),0)+IF(AND(Palancas!$F$13=1,AC$3&gt;=Palancas!$F$15),MIN(Palancas!$F$16,ROUND(Palancas!$F$16*(AC$3-Palancas!$F$15+1)/Palancas!$B$10,0)),0)+IF(AND(Palancas!$B$21=1,AC$3&gt;=Palancas!$B$23),MIN(Palancas!$B$24,ROUND(Palancas!$B$24*(AC$3-Palancas!$B$23+1)/Palancas!$B$10,0)),0)+IF(AND(Palancas!$F$21=1,AC$3&gt;=Palancas!$F$23),MIN(Palancas!$F$24,ROUND(Palancas!$F$24*(AC$3-Palancas!$F$23+1)/Palancas!$B$10,0)),0)+IF(AND(Palancas!$B$29=1,AC$3&gt;=Palancas!$B$31,AC$3&lt;=Palancas!$B$34),MIN(Palancas!$B$32,ROUND(Palancas!$B$32*(AC$3-Palancas!$B$31+1)/Palancas!$B$10,0)),0)</f>
        <v/>
      </c>
      <c r="AD9" s="37">
        <f>IF(AND(Palancas!$B$13=1,AD$3&gt;=Palancas!$B$15),MIN(Palancas!$B$16,ROUND(Palancas!$B$16*(AD$3-Palancas!$B$15+1)/Palancas!$B$10,0)),0)+IF(AND(Palancas!$F$13=1,AD$3&gt;=Palancas!$F$15),MIN(Palancas!$F$16,ROUND(Palancas!$F$16*(AD$3-Palancas!$F$15+1)/Palancas!$B$10,0)),0)+IF(AND(Palancas!$B$21=1,AD$3&gt;=Palancas!$B$23),MIN(Palancas!$B$24,ROUND(Palancas!$B$24*(AD$3-Palancas!$B$23+1)/Palancas!$B$10,0)),0)+IF(AND(Palancas!$F$21=1,AD$3&gt;=Palancas!$F$23),MIN(Palancas!$F$24,ROUND(Palancas!$F$24*(AD$3-Palancas!$F$23+1)/Palancas!$B$10,0)),0)+IF(AND(Palancas!$B$29=1,AD$3&gt;=Palancas!$B$31,AD$3&lt;=Palancas!$B$34),MIN(Palancas!$B$32,ROUND(Palancas!$B$32*(AD$3-Palancas!$B$31+1)/Palancas!$B$10,0)),0)</f>
        <v/>
      </c>
      <c r="AE9" s="37">
        <f>IF(AND(Palancas!$B$13=1,AE$3&gt;=Palancas!$B$15),MIN(Palancas!$B$16,ROUND(Palancas!$B$16*(AE$3-Palancas!$B$15+1)/Palancas!$B$10,0)),0)+IF(AND(Palancas!$F$13=1,AE$3&gt;=Palancas!$F$15),MIN(Palancas!$F$16,ROUND(Palancas!$F$16*(AE$3-Palancas!$F$15+1)/Palancas!$B$10,0)),0)+IF(AND(Palancas!$B$21=1,AE$3&gt;=Palancas!$B$23),MIN(Palancas!$B$24,ROUND(Palancas!$B$24*(AE$3-Palancas!$B$23+1)/Palancas!$B$10,0)),0)+IF(AND(Palancas!$F$21=1,AE$3&gt;=Palancas!$F$23),MIN(Palancas!$F$24,ROUND(Palancas!$F$24*(AE$3-Palancas!$F$23+1)/Palancas!$B$10,0)),0)+IF(AND(Palancas!$B$29=1,AE$3&gt;=Palancas!$B$31,AE$3&lt;=Palancas!$B$34),MIN(Palancas!$B$32,ROUND(Palancas!$B$32*(AE$3-Palancas!$B$31+1)/Palancas!$B$10,0)),0)</f>
        <v/>
      </c>
      <c r="AF9" s="37">
        <f>IF(AND(Palancas!$B$13=1,AF$3&gt;=Palancas!$B$15),MIN(Palancas!$B$16,ROUND(Palancas!$B$16*(AF$3-Palancas!$B$15+1)/Palancas!$B$10,0)),0)+IF(AND(Palancas!$F$13=1,AF$3&gt;=Palancas!$F$15),MIN(Palancas!$F$16,ROUND(Palancas!$F$16*(AF$3-Palancas!$F$15+1)/Palancas!$B$10,0)),0)+IF(AND(Palancas!$B$21=1,AF$3&gt;=Palancas!$B$23),MIN(Palancas!$B$24,ROUND(Palancas!$B$24*(AF$3-Palancas!$B$23+1)/Palancas!$B$10,0)),0)+IF(AND(Palancas!$F$21=1,AF$3&gt;=Palancas!$F$23),MIN(Palancas!$F$24,ROUND(Palancas!$F$24*(AF$3-Palancas!$F$23+1)/Palancas!$B$10,0)),0)+IF(AND(Palancas!$B$29=1,AF$3&gt;=Palancas!$B$31,AF$3&lt;=Palancas!$B$34),MIN(Palancas!$B$32,ROUND(Palancas!$B$32*(AF$3-Palancas!$B$31+1)/Palancas!$B$10,0)),0)</f>
        <v/>
      </c>
      <c r="AG9" s="37">
        <f>IF(AND(Palancas!$B$13=1,AG$3&gt;=Palancas!$B$15),MIN(Palancas!$B$16,ROUND(Palancas!$B$16*(AG$3-Palancas!$B$15+1)/Palancas!$B$10,0)),0)+IF(AND(Palancas!$F$13=1,AG$3&gt;=Palancas!$F$15),MIN(Palancas!$F$16,ROUND(Palancas!$F$16*(AG$3-Palancas!$F$15+1)/Palancas!$B$10,0)),0)+IF(AND(Palancas!$B$21=1,AG$3&gt;=Palancas!$B$23),MIN(Palancas!$B$24,ROUND(Palancas!$B$24*(AG$3-Palancas!$B$23+1)/Palancas!$B$10,0)),0)+IF(AND(Palancas!$F$21=1,AG$3&gt;=Palancas!$F$23),MIN(Palancas!$F$24,ROUND(Palancas!$F$24*(AG$3-Palancas!$F$23+1)/Palancas!$B$10,0)),0)+IF(AND(Palancas!$B$29=1,AG$3&gt;=Palancas!$B$31,AG$3&lt;=Palancas!$B$34),MIN(Palancas!$B$32,ROUND(Palancas!$B$32*(AG$3-Palancas!$B$31+1)/Palancas!$B$10,0)),0)</f>
        <v/>
      </c>
      <c r="AH9" s="37">
        <f>IF(AND(Palancas!$B$13=1,AH$3&gt;=Palancas!$B$15),MIN(Palancas!$B$16,ROUND(Palancas!$B$16*(AH$3-Palancas!$B$15+1)/Palancas!$B$10,0)),0)+IF(AND(Palancas!$F$13=1,AH$3&gt;=Palancas!$F$15),MIN(Palancas!$F$16,ROUND(Palancas!$F$16*(AH$3-Palancas!$F$15+1)/Palancas!$B$10,0)),0)+IF(AND(Palancas!$B$21=1,AH$3&gt;=Palancas!$B$23),MIN(Palancas!$B$24,ROUND(Palancas!$B$24*(AH$3-Palancas!$B$23+1)/Palancas!$B$10,0)),0)+IF(AND(Palancas!$F$21=1,AH$3&gt;=Palancas!$F$23),MIN(Palancas!$F$24,ROUND(Palancas!$F$24*(AH$3-Palancas!$F$23+1)/Palancas!$B$10,0)),0)+IF(AND(Palancas!$B$29=1,AH$3&gt;=Palancas!$B$31,AH$3&lt;=Palancas!$B$34),MIN(Palancas!$B$32,ROUND(Palancas!$B$32*(AH$3-Palancas!$B$31+1)/Palancas!$B$10,0)),0)</f>
        <v/>
      </c>
      <c r="AI9" s="37">
        <f>IF(AND(Palancas!$B$13=1,AI$3&gt;=Palancas!$B$15),MIN(Palancas!$B$16,ROUND(Palancas!$B$16*(AI$3-Palancas!$B$15+1)/Palancas!$B$10,0)),0)+IF(AND(Palancas!$F$13=1,AI$3&gt;=Palancas!$F$15),MIN(Palancas!$F$16,ROUND(Palancas!$F$16*(AI$3-Palancas!$F$15+1)/Palancas!$B$10,0)),0)+IF(AND(Palancas!$B$21=1,AI$3&gt;=Palancas!$B$23),MIN(Palancas!$B$24,ROUND(Palancas!$B$24*(AI$3-Palancas!$B$23+1)/Palancas!$B$10,0)),0)+IF(AND(Palancas!$F$21=1,AI$3&gt;=Palancas!$F$23),MIN(Palancas!$F$24,ROUND(Palancas!$F$24*(AI$3-Palancas!$F$23+1)/Palancas!$B$10,0)),0)+IF(AND(Palancas!$B$29=1,AI$3&gt;=Palancas!$B$31,AI$3&lt;=Palancas!$B$34),MIN(Palancas!$B$32,ROUND(Palancas!$B$32*(AI$3-Palancas!$B$31+1)/Palancas!$B$10,0)),0)</f>
        <v/>
      </c>
      <c r="AJ9" s="37">
        <f>IF(AND(Palancas!$B$13=1,AJ$3&gt;=Palancas!$B$15),MIN(Palancas!$B$16,ROUND(Palancas!$B$16*(AJ$3-Palancas!$B$15+1)/Palancas!$B$10,0)),0)+IF(AND(Palancas!$F$13=1,AJ$3&gt;=Palancas!$F$15),MIN(Palancas!$F$16,ROUND(Palancas!$F$16*(AJ$3-Palancas!$F$15+1)/Palancas!$B$10,0)),0)+IF(AND(Palancas!$B$21=1,AJ$3&gt;=Palancas!$B$23),MIN(Palancas!$B$24,ROUND(Palancas!$B$24*(AJ$3-Palancas!$B$23+1)/Palancas!$B$10,0)),0)+IF(AND(Palancas!$F$21=1,AJ$3&gt;=Palancas!$F$23),MIN(Palancas!$F$24,ROUND(Palancas!$F$24*(AJ$3-Palancas!$F$23+1)/Palancas!$B$10,0)),0)+IF(AND(Palancas!$B$29=1,AJ$3&gt;=Palancas!$B$31,AJ$3&lt;=Palancas!$B$34),MIN(Palancas!$B$32,ROUND(Palancas!$B$32*(AJ$3-Palancas!$B$31+1)/Palancas!$B$10,0)),0)</f>
        <v/>
      </c>
      <c r="AK9" s="37">
        <f>IF(AND(Palancas!$B$13=1,AK$3&gt;=Palancas!$B$15),MIN(Palancas!$B$16,ROUND(Palancas!$B$16*(AK$3-Palancas!$B$15+1)/Palancas!$B$10,0)),0)+IF(AND(Palancas!$F$13=1,AK$3&gt;=Palancas!$F$15),MIN(Palancas!$F$16,ROUND(Palancas!$F$16*(AK$3-Palancas!$F$15+1)/Palancas!$B$10,0)),0)+IF(AND(Palancas!$B$21=1,AK$3&gt;=Palancas!$B$23),MIN(Palancas!$B$24,ROUND(Palancas!$B$24*(AK$3-Palancas!$B$23+1)/Palancas!$B$10,0)),0)+IF(AND(Palancas!$F$21=1,AK$3&gt;=Palancas!$F$23),MIN(Palancas!$F$24,ROUND(Palancas!$F$24*(AK$3-Palancas!$F$23+1)/Palancas!$B$10,0)),0)+IF(AND(Palancas!$B$29=1,AK$3&gt;=Palancas!$B$31,AK$3&lt;=Palancas!$B$34),MIN(Palancas!$B$32,ROUND(Palancas!$B$32*(AK$3-Palancas!$B$31+1)/Palancas!$B$10,0)),0)</f>
        <v/>
      </c>
      <c r="AL9" s="37">
        <f>IF(AND(Palancas!$B$13=1,AL$3&gt;=Palancas!$B$15),MIN(Palancas!$B$16,ROUND(Palancas!$B$16*(AL$3-Palancas!$B$15+1)/Palancas!$B$10,0)),0)+IF(AND(Palancas!$F$13=1,AL$3&gt;=Palancas!$F$15),MIN(Palancas!$F$16,ROUND(Palancas!$F$16*(AL$3-Palancas!$F$15+1)/Palancas!$B$10,0)),0)+IF(AND(Palancas!$B$21=1,AL$3&gt;=Palancas!$B$23),MIN(Palancas!$B$24,ROUND(Palancas!$B$24*(AL$3-Palancas!$B$23+1)/Palancas!$B$10,0)),0)+IF(AND(Palancas!$F$21=1,AL$3&gt;=Palancas!$F$23),MIN(Palancas!$F$24,ROUND(Palancas!$F$24*(AL$3-Palancas!$F$23+1)/Palancas!$B$10,0)),0)+IF(AND(Palancas!$B$29=1,AL$3&gt;=Palancas!$B$31,AL$3&lt;=Palancas!$B$34),MIN(Palancas!$B$32,ROUND(Palancas!$B$32*(AL$3-Palancas!$B$31+1)/Palancas!$B$10,0)),0)</f>
        <v/>
      </c>
      <c r="AM9" s="37">
        <f>IF(AND(Palancas!$B$13=1,AM$3&gt;=Palancas!$B$15),MIN(Palancas!$B$16,ROUND(Palancas!$B$16*(AM$3-Palancas!$B$15+1)/Palancas!$B$10,0)),0)+IF(AND(Palancas!$F$13=1,AM$3&gt;=Palancas!$F$15),MIN(Palancas!$F$16,ROUND(Palancas!$F$16*(AM$3-Palancas!$F$15+1)/Palancas!$B$10,0)),0)+IF(AND(Palancas!$B$21=1,AM$3&gt;=Palancas!$B$23),MIN(Palancas!$B$24,ROUND(Palancas!$B$24*(AM$3-Palancas!$B$23+1)/Palancas!$B$10,0)),0)+IF(AND(Palancas!$F$21=1,AM$3&gt;=Palancas!$F$23),MIN(Palancas!$F$24,ROUND(Palancas!$F$24*(AM$3-Palancas!$F$23+1)/Palancas!$B$10,0)),0)+IF(AND(Palancas!$B$29=1,AM$3&gt;=Palancas!$B$31,AM$3&lt;=Palancas!$B$34),MIN(Palancas!$B$32,ROUND(Palancas!$B$32*(AM$3-Palancas!$B$31+1)/Palancas!$B$10,0)),0)</f>
        <v/>
      </c>
      <c r="AN9" s="37">
        <f>IF(AND(Palancas!$B$13=1,AN$3&gt;=Palancas!$B$15),MIN(Palancas!$B$16,ROUND(Palancas!$B$16*(AN$3-Palancas!$B$15+1)/Palancas!$B$10,0)),0)+IF(AND(Palancas!$F$13=1,AN$3&gt;=Palancas!$F$15),MIN(Palancas!$F$16,ROUND(Palancas!$F$16*(AN$3-Palancas!$F$15+1)/Palancas!$B$10,0)),0)+IF(AND(Palancas!$B$21=1,AN$3&gt;=Palancas!$B$23),MIN(Palancas!$B$24,ROUND(Palancas!$B$24*(AN$3-Palancas!$B$23+1)/Palancas!$B$10,0)),0)+IF(AND(Palancas!$F$21=1,AN$3&gt;=Palancas!$F$23),MIN(Palancas!$F$24,ROUND(Palancas!$F$24*(AN$3-Palancas!$F$23+1)/Palancas!$B$10,0)),0)+IF(AND(Palancas!$B$29=1,AN$3&gt;=Palancas!$B$31,AN$3&lt;=Palancas!$B$34),MIN(Palancas!$B$32,ROUND(Palancas!$B$32*(AN$3-Palancas!$B$31+1)/Palancas!$B$10,0)),0)</f>
        <v/>
      </c>
      <c r="AO9" s="37">
        <f>IF(AND(Palancas!$B$13=1,AO$3&gt;=Palancas!$B$15),MIN(Palancas!$B$16,ROUND(Palancas!$B$16*(AO$3-Palancas!$B$15+1)/Palancas!$B$10,0)),0)+IF(AND(Palancas!$F$13=1,AO$3&gt;=Palancas!$F$15),MIN(Palancas!$F$16,ROUND(Palancas!$F$16*(AO$3-Palancas!$F$15+1)/Palancas!$B$10,0)),0)+IF(AND(Palancas!$B$21=1,AO$3&gt;=Palancas!$B$23),MIN(Palancas!$B$24,ROUND(Palancas!$B$24*(AO$3-Palancas!$B$23+1)/Palancas!$B$10,0)),0)+IF(AND(Palancas!$F$21=1,AO$3&gt;=Palancas!$F$23),MIN(Palancas!$F$24,ROUND(Palancas!$F$24*(AO$3-Palancas!$F$23+1)/Palancas!$B$10,0)),0)+IF(AND(Palancas!$B$29=1,AO$3&gt;=Palancas!$B$31,AO$3&lt;=Palancas!$B$34),MIN(Palancas!$B$32,ROUND(Palancas!$B$32*(AO$3-Palancas!$B$31+1)/Palancas!$B$10,0)),0)</f>
        <v/>
      </c>
      <c r="AP9" s="37">
        <f>IF(AND(Palancas!$B$13=1,AP$3&gt;=Palancas!$B$15),MIN(Palancas!$B$16,ROUND(Palancas!$B$16*(AP$3-Palancas!$B$15+1)/Palancas!$B$10,0)),0)+IF(AND(Palancas!$F$13=1,AP$3&gt;=Palancas!$F$15),MIN(Palancas!$F$16,ROUND(Palancas!$F$16*(AP$3-Palancas!$F$15+1)/Palancas!$B$10,0)),0)+IF(AND(Palancas!$B$21=1,AP$3&gt;=Palancas!$B$23),MIN(Palancas!$B$24,ROUND(Palancas!$B$24*(AP$3-Palancas!$B$23+1)/Palancas!$B$10,0)),0)+IF(AND(Palancas!$F$21=1,AP$3&gt;=Palancas!$F$23),MIN(Palancas!$F$24,ROUND(Palancas!$F$24*(AP$3-Palancas!$F$23+1)/Palancas!$B$10,0)),0)+IF(AND(Palancas!$B$29=1,AP$3&gt;=Palancas!$B$31,AP$3&lt;=Palancas!$B$34),MIN(Palancas!$B$32,ROUND(Palancas!$B$32*(AP$3-Palancas!$B$31+1)/Palancas!$B$10,0)),0)</f>
        <v/>
      </c>
      <c r="AQ9" s="37">
        <f>IF(AND(Palancas!$B$13=1,AQ$3&gt;=Palancas!$B$15),MIN(Palancas!$B$16,ROUND(Palancas!$B$16*(AQ$3-Palancas!$B$15+1)/Palancas!$B$10,0)),0)+IF(AND(Palancas!$F$13=1,AQ$3&gt;=Palancas!$F$15),MIN(Palancas!$F$16,ROUND(Palancas!$F$16*(AQ$3-Palancas!$F$15+1)/Palancas!$B$10,0)),0)+IF(AND(Palancas!$B$21=1,AQ$3&gt;=Palancas!$B$23),MIN(Palancas!$B$24,ROUND(Palancas!$B$24*(AQ$3-Palancas!$B$23+1)/Palancas!$B$10,0)),0)+IF(AND(Palancas!$F$21=1,AQ$3&gt;=Palancas!$F$23),MIN(Palancas!$F$24,ROUND(Palancas!$F$24*(AQ$3-Palancas!$F$23+1)/Palancas!$B$10,0)),0)+IF(AND(Palancas!$B$29=1,AQ$3&gt;=Palancas!$B$31,AQ$3&lt;=Palancas!$B$34),MIN(Palancas!$B$32,ROUND(Palancas!$B$32*(AQ$3-Palancas!$B$31+1)/Palancas!$B$10,0)),0)</f>
        <v/>
      </c>
      <c r="AR9" s="37">
        <f>IF(AND(Palancas!$B$13=1,AR$3&gt;=Palancas!$B$15),MIN(Palancas!$B$16,ROUND(Palancas!$B$16*(AR$3-Palancas!$B$15+1)/Palancas!$B$10,0)),0)+IF(AND(Palancas!$F$13=1,AR$3&gt;=Palancas!$F$15),MIN(Palancas!$F$16,ROUND(Palancas!$F$16*(AR$3-Palancas!$F$15+1)/Palancas!$B$10,0)),0)+IF(AND(Palancas!$B$21=1,AR$3&gt;=Palancas!$B$23),MIN(Palancas!$B$24,ROUND(Palancas!$B$24*(AR$3-Palancas!$B$23+1)/Palancas!$B$10,0)),0)+IF(AND(Palancas!$F$21=1,AR$3&gt;=Palancas!$F$23),MIN(Palancas!$F$24,ROUND(Palancas!$F$24*(AR$3-Palancas!$F$23+1)/Palancas!$B$10,0)),0)+IF(AND(Palancas!$B$29=1,AR$3&gt;=Palancas!$B$31,AR$3&lt;=Palancas!$B$34),MIN(Palancas!$B$32,ROUND(Palancas!$B$32*(AR$3-Palancas!$B$31+1)/Palancas!$B$10,0)),0)</f>
        <v/>
      </c>
      <c r="AS9" s="37">
        <f>IF(AND(Palancas!$B$13=1,AS$3&gt;=Palancas!$B$15),MIN(Palancas!$B$16,ROUND(Palancas!$B$16*(AS$3-Palancas!$B$15+1)/Palancas!$B$10,0)),0)+IF(AND(Palancas!$F$13=1,AS$3&gt;=Palancas!$F$15),MIN(Palancas!$F$16,ROUND(Palancas!$F$16*(AS$3-Palancas!$F$15+1)/Palancas!$B$10,0)),0)+IF(AND(Palancas!$B$21=1,AS$3&gt;=Palancas!$B$23),MIN(Palancas!$B$24,ROUND(Palancas!$B$24*(AS$3-Palancas!$B$23+1)/Palancas!$B$10,0)),0)+IF(AND(Palancas!$F$21=1,AS$3&gt;=Palancas!$F$23),MIN(Palancas!$F$24,ROUND(Palancas!$F$24*(AS$3-Palancas!$F$23+1)/Palancas!$B$10,0)),0)+IF(AND(Palancas!$B$29=1,AS$3&gt;=Palancas!$B$31,AS$3&lt;=Palancas!$B$34),MIN(Palancas!$B$32,ROUND(Palancas!$B$32*(AS$3-Palancas!$B$31+1)/Palancas!$B$10,0)),0)</f>
        <v/>
      </c>
      <c r="AT9" s="37">
        <f>IF(AND(Palancas!$B$13=1,AT$3&gt;=Palancas!$B$15),MIN(Palancas!$B$16,ROUND(Palancas!$B$16*(AT$3-Palancas!$B$15+1)/Palancas!$B$10,0)),0)+IF(AND(Palancas!$F$13=1,AT$3&gt;=Palancas!$F$15),MIN(Palancas!$F$16,ROUND(Palancas!$F$16*(AT$3-Palancas!$F$15+1)/Palancas!$B$10,0)),0)+IF(AND(Palancas!$B$21=1,AT$3&gt;=Palancas!$B$23),MIN(Palancas!$B$24,ROUND(Palancas!$B$24*(AT$3-Palancas!$B$23+1)/Palancas!$B$10,0)),0)+IF(AND(Palancas!$F$21=1,AT$3&gt;=Palancas!$F$23),MIN(Palancas!$F$24,ROUND(Palancas!$F$24*(AT$3-Palancas!$F$23+1)/Palancas!$B$10,0)),0)+IF(AND(Palancas!$B$29=1,AT$3&gt;=Palancas!$B$31,AT$3&lt;=Palancas!$B$34),MIN(Palancas!$B$32,ROUND(Palancas!$B$32*(AT$3-Palancas!$B$31+1)/Palancas!$B$10,0)),0)</f>
        <v/>
      </c>
      <c r="AU9" s="37">
        <f>IF(AND(Palancas!$B$13=1,AU$3&gt;=Palancas!$B$15),MIN(Palancas!$B$16,ROUND(Palancas!$B$16*(AU$3-Palancas!$B$15+1)/Palancas!$B$10,0)),0)+IF(AND(Palancas!$F$13=1,AU$3&gt;=Palancas!$F$15),MIN(Palancas!$F$16,ROUND(Palancas!$F$16*(AU$3-Palancas!$F$15+1)/Palancas!$B$10,0)),0)+IF(AND(Palancas!$B$21=1,AU$3&gt;=Palancas!$B$23),MIN(Palancas!$B$24,ROUND(Palancas!$B$24*(AU$3-Palancas!$B$23+1)/Palancas!$B$10,0)),0)+IF(AND(Palancas!$F$21=1,AU$3&gt;=Palancas!$F$23),MIN(Palancas!$F$24,ROUND(Palancas!$F$24*(AU$3-Palancas!$F$23+1)/Palancas!$B$10,0)),0)+IF(AND(Palancas!$B$29=1,AU$3&gt;=Palancas!$B$31,AU$3&lt;=Palancas!$B$34),MIN(Palancas!$B$32,ROUND(Palancas!$B$32*(AU$3-Palancas!$B$31+1)/Palancas!$B$10,0)),0)</f>
        <v/>
      </c>
      <c r="AV9" s="37">
        <f>IF(AND(Palancas!$B$13=1,AV$3&gt;=Palancas!$B$15),MIN(Palancas!$B$16,ROUND(Palancas!$B$16*(AV$3-Palancas!$B$15+1)/Palancas!$B$10,0)),0)+IF(AND(Palancas!$F$13=1,AV$3&gt;=Palancas!$F$15),MIN(Palancas!$F$16,ROUND(Palancas!$F$16*(AV$3-Palancas!$F$15+1)/Palancas!$B$10,0)),0)+IF(AND(Palancas!$B$21=1,AV$3&gt;=Palancas!$B$23),MIN(Palancas!$B$24,ROUND(Palancas!$B$24*(AV$3-Palancas!$B$23+1)/Palancas!$B$10,0)),0)+IF(AND(Palancas!$F$21=1,AV$3&gt;=Palancas!$F$23),MIN(Palancas!$F$24,ROUND(Palancas!$F$24*(AV$3-Palancas!$F$23+1)/Palancas!$B$10,0)),0)+IF(AND(Palancas!$B$29=1,AV$3&gt;=Palancas!$B$31,AV$3&lt;=Palancas!$B$34),MIN(Palancas!$B$32,ROUND(Palancas!$B$32*(AV$3-Palancas!$B$31+1)/Palancas!$B$10,0)),0)</f>
        <v/>
      </c>
      <c r="AW9" s="37">
        <f>IF(AND(Palancas!$B$13=1,AW$3&gt;=Palancas!$B$15),MIN(Palancas!$B$16,ROUND(Palancas!$B$16*(AW$3-Palancas!$B$15+1)/Palancas!$B$10,0)),0)+IF(AND(Palancas!$F$13=1,AW$3&gt;=Palancas!$F$15),MIN(Palancas!$F$16,ROUND(Palancas!$F$16*(AW$3-Palancas!$F$15+1)/Palancas!$B$10,0)),0)+IF(AND(Palancas!$B$21=1,AW$3&gt;=Palancas!$B$23),MIN(Palancas!$B$24,ROUND(Palancas!$B$24*(AW$3-Palancas!$B$23+1)/Palancas!$B$10,0)),0)+IF(AND(Palancas!$F$21=1,AW$3&gt;=Palancas!$F$23),MIN(Palancas!$F$24,ROUND(Palancas!$F$24*(AW$3-Palancas!$F$23+1)/Palancas!$B$10,0)),0)+IF(AND(Palancas!$B$29=1,AW$3&gt;=Palancas!$B$31,AW$3&lt;=Palancas!$B$34),MIN(Palancas!$B$32,ROUND(Palancas!$B$32*(AW$3-Palancas!$B$31+1)/Palancas!$B$10,0)),0)</f>
        <v/>
      </c>
      <c r="AX9" s="37">
        <f>IF(AND(Palancas!$B$13=1,AX$3&gt;=Palancas!$B$15),MIN(Palancas!$B$16,ROUND(Palancas!$B$16*(AX$3-Palancas!$B$15+1)/Palancas!$B$10,0)),0)+IF(AND(Palancas!$F$13=1,AX$3&gt;=Palancas!$F$15),MIN(Palancas!$F$16,ROUND(Palancas!$F$16*(AX$3-Palancas!$F$15+1)/Palancas!$B$10,0)),0)+IF(AND(Palancas!$B$21=1,AX$3&gt;=Palancas!$B$23),MIN(Palancas!$B$24,ROUND(Palancas!$B$24*(AX$3-Palancas!$B$23+1)/Palancas!$B$10,0)),0)+IF(AND(Palancas!$F$21=1,AX$3&gt;=Palancas!$F$23),MIN(Palancas!$F$24,ROUND(Palancas!$F$24*(AX$3-Palancas!$F$23+1)/Palancas!$B$10,0)),0)+IF(AND(Palancas!$B$29=1,AX$3&gt;=Palancas!$B$31,AX$3&lt;=Palancas!$B$34),MIN(Palancas!$B$32,ROUND(Palancas!$B$32*(AX$3-Palancas!$B$31+1)/Palancas!$B$10,0)),0)</f>
        <v/>
      </c>
      <c r="AY9" s="37">
        <f>IF(AND(Palancas!$B$13=1,AY$3&gt;=Palancas!$B$15),MIN(Palancas!$B$16,ROUND(Palancas!$B$16*(AY$3-Palancas!$B$15+1)/Palancas!$B$10,0)),0)+IF(AND(Palancas!$F$13=1,AY$3&gt;=Palancas!$F$15),MIN(Palancas!$F$16,ROUND(Palancas!$F$16*(AY$3-Palancas!$F$15+1)/Palancas!$B$10,0)),0)+IF(AND(Palancas!$B$21=1,AY$3&gt;=Palancas!$B$23),MIN(Palancas!$B$24,ROUND(Palancas!$B$24*(AY$3-Palancas!$B$23+1)/Palancas!$B$10,0)),0)+IF(AND(Palancas!$F$21=1,AY$3&gt;=Palancas!$F$23),MIN(Palancas!$F$24,ROUND(Palancas!$F$24*(AY$3-Palancas!$F$23+1)/Palancas!$B$10,0)),0)+IF(AND(Palancas!$B$29=1,AY$3&gt;=Palancas!$B$31,AY$3&lt;=Palancas!$B$34),MIN(Palancas!$B$32,ROUND(Palancas!$B$32*(AY$3-Palancas!$B$31+1)/Palancas!$B$10,0)),0)</f>
        <v/>
      </c>
      <c r="AZ9" s="37">
        <f>IF(AND(Palancas!$B$13=1,AZ$3&gt;=Palancas!$B$15),MIN(Palancas!$B$16,ROUND(Palancas!$B$16*(AZ$3-Palancas!$B$15+1)/Palancas!$B$10,0)),0)+IF(AND(Palancas!$F$13=1,AZ$3&gt;=Palancas!$F$15),MIN(Palancas!$F$16,ROUND(Palancas!$F$16*(AZ$3-Palancas!$F$15+1)/Palancas!$B$10,0)),0)+IF(AND(Palancas!$B$21=1,AZ$3&gt;=Palancas!$B$23),MIN(Palancas!$B$24,ROUND(Palancas!$B$24*(AZ$3-Palancas!$B$23+1)/Palancas!$B$10,0)),0)+IF(AND(Palancas!$F$21=1,AZ$3&gt;=Palancas!$F$23),MIN(Palancas!$F$24,ROUND(Palancas!$F$24*(AZ$3-Palancas!$F$23+1)/Palancas!$B$10,0)),0)+IF(AND(Palancas!$B$29=1,AZ$3&gt;=Palancas!$B$31,AZ$3&lt;=Palancas!$B$34),MIN(Palancas!$B$32,ROUND(Palancas!$B$32*(AZ$3-Palancas!$B$31+1)/Palancas!$B$10,0)),0)</f>
        <v/>
      </c>
      <c r="BA9" s="37">
        <f>IF(AND(Palancas!$B$13=1,BA$3&gt;=Palancas!$B$15),MIN(Palancas!$B$16,ROUND(Palancas!$B$16*(BA$3-Palancas!$B$15+1)/Palancas!$B$10,0)),0)+IF(AND(Palancas!$F$13=1,BA$3&gt;=Palancas!$F$15),MIN(Palancas!$F$16,ROUND(Palancas!$F$16*(BA$3-Palancas!$F$15+1)/Palancas!$B$10,0)),0)+IF(AND(Palancas!$B$21=1,BA$3&gt;=Palancas!$B$23),MIN(Palancas!$B$24,ROUND(Palancas!$B$24*(BA$3-Palancas!$B$23+1)/Palancas!$B$10,0)),0)+IF(AND(Palancas!$F$21=1,BA$3&gt;=Palancas!$F$23),MIN(Palancas!$F$24,ROUND(Palancas!$F$24*(BA$3-Palancas!$F$23+1)/Palancas!$B$10,0)),0)+IF(AND(Palancas!$B$29=1,BA$3&gt;=Palancas!$B$31,BA$3&lt;=Palancas!$B$34),MIN(Palancas!$B$32,ROUND(Palancas!$B$32*(BA$3-Palancas!$B$31+1)/Palancas!$B$10,0)),0)</f>
        <v/>
      </c>
      <c r="BB9" s="37">
        <f>IF(AND(Palancas!$B$13=1,BB$3&gt;=Palancas!$B$15),MIN(Palancas!$B$16,ROUND(Palancas!$B$16*(BB$3-Palancas!$B$15+1)/Palancas!$B$10,0)),0)+IF(AND(Palancas!$F$13=1,BB$3&gt;=Palancas!$F$15),MIN(Palancas!$F$16,ROUND(Palancas!$F$16*(BB$3-Palancas!$F$15+1)/Palancas!$B$10,0)),0)+IF(AND(Palancas!$B$21=1,BB$3&gt;=Palancas!$B$23),MIN(Palancas!$B$24,ROUND(Palancas!$B$24*(BB$3-Palancas!$B$23+1)/Palancas!$B$10,0)),0)+IF(AND(Palancas!$F$21=1,BB$3&gt;=Palancas!$F$23),MIN(Palancas!$F$24,ROUND(Palancas!$F$24*(BB$3-Palancas!$F$23+1)/Palancas!$B$10,0)),0)+IF(AND(Palancas!$B$29=1,BB$3&gt;=Palancas!$B$31,BB$3&lt;=Palancas!$B$34),MIN(Palancas!$B$32,ROUND(Palancas!$B$32*(BB$3-Palancas!$B$31+1)/Palancas!$B$10,0)),0)</f>
        <v/>
      </c>
      <c r="BC9" s="37">
        <f>IF(AND(Palancas!$B$13=1,BC$3&gt;=Palancas!$B$15),MIN(Palancas!$B$16,ROUND(Palancas!$B$16*(BC$3-Palancas!$B$15+1)/Palancas!$B$10,0)),0)+IF(AND(Palancas!$F$13=1,BC$3&gt;=Palancas!$F$15),MIN(Palancas!$F$16,ROUND(Palancas!$F$16*(BC$3-Palancas!$F$15+1)/Palancas!$B$10,0)),0)+IF(AND(Palancas!$B$21=1,BC$3&gt;=Palancas!$B$23),MIN(Palancas!$B$24,ROUND(Palancas!$B$24*(BC$3-Palancas!$B$23+1)/Palancas!$B$10,0)),0)+IF(AND(Palancas!$F$21=1,BC$3&gt;=Palancas!$F$23),MIN(Palancas!$F$24,ROUND(Palancas!$F$24*(BC$3-Palancas!$F$23+1)/Palancas!$B$10,0)),0)+IF(AND(Palancas!$B$29=1,BC$3&gt;=Palancas!$B$31,BC$3&lt;=Palancas!$B$34),MIN(Palancas!$B$32,ROUND(Palancas!$B$32*(BC$3-Palancas!$B$31+1)/Palancas!$B$10,0)),0)</f>
        <v/>
      </c>
      <c r="BD9" s="37">
        <f>IF(AND(Palancas!$B$13=1,BD$3&gt;=Palancas!$B$15),MIN(Palancas!$B$16,ROUND(Palancas!$B$16*(BD$3-Palancas!$B$15+1)/Palancas!$B$10,0)),0)+IF(AND(Palancas!$F$13=1,BD$3&gt;=Palancas!$F$15),MIN(Palancas!$F$16,ROUND(Palancas!$F$16*(BD$3-Palancas!$F$15+1)/Palancas!$B$10,0)),0)+IF(AND(Palancas!$B$21=1,BD$3&gt;=Palancas!$B$23),MIN(Palancas!$B$24,ROUND(Palancas!$B$24*(BD$3-Palancas!$B$23+1)/Palancas!$B$10,0)),0)+IF(AND(Palancas!$F$21=1,BD$3&gt;=Palancas!$F$23),MIN(Palancas!$F$24,ROUND(Palancas!$F$24*(BD$3-Palancas!$F$23+1)/Palancas!$B$10,0)),0)+IF(AND(Palancas!$B$29=1,BD$3&gt;=Palancas!$B$31,BD$3&lt;=Palancas!$B$34),MIN(Palancas!$B$32,ROUND(Palancas!$B$32*(BD$3-Palancas!$B$31+1)/Palancas!$B$10,0)),0)</f>
        <v/>
      </c>
      <c r="BE9" s="37">
        <f>IF(AND(Palancas!$B$13=1,BE$3&gt;=Palancas!$B$15),MIN(Palancas!$B$16,ROUND(Palancas!$B$16*(BE$3-Palancas!$B$15+1)/Palancas!$B$10,0)),0)+IF(AND(Palancas!$F$13=1,BE$3&gt;=Palancas!$F$15),MIN(Palancas!$F$16,ROUND(Palancas!$F$16*(BE$3-Palancas!$F$15+1)/Palancas!$B$10,0)),0)+IF(AND(Palancas!$B$21=1,BE$3&gt;=Palancas!$B$23),MIN(Palancas!$B$24,ROUND(Palancas!$B$24*(BE$3-Palancas!$B$23+1)/Palancas!$B$10,0)),0)+IF(AND(Palancas!$F$21=1,BE$3&gt;=Palancas!$F$23),MIN(Palancas!$F$24,ROUND(Palancas!$F$24*(BE$3-Palancas!$F$23+1)/Palancas!$B$10,0)),0)+IF(AND(Palancas!$B$29=1,BE$3&gt;=Palancas!$B$31,BE$3&lt;=Palancas!$B$34),MIN(Palancas!$B$32,ROUND(Palancas!$B$32*(BE$3-Palancas!$B$31+1)/Palancas!$B$10,0)),0)</f>
        <v/>
      </c>
      <c r="BF9" s="37">
        <f>IF(AND(Palancas!$B$13=1,BF$3&gt;=Palancas!$B$15),MIN(Palancas!$B$16,ROUND(Palancas!$B$16*(BF$3-Palancas!$B$15+1)/Palancas!$B$10,0)),0)+IF(AND(Palancas!$F$13=1,BF$3&gt;=Palancas!$F$15),MIN(Palancas!$F$16,ROUND(Palancas!$F$16*(BF$3-Palancas!$F$15+1)/Palancas!$B$10,0)),0)+IF(AND(Palancas!$B$21=1,BF$3&gt;=Palancas!$B$23),MIN(Palancas!$B$24,ROUND(Palancas!$B$24*(BF$3-Palancas!$B$23+1)/Palancas!$B$10,0)),0)+IF(AND(Palancas!$F$21=1,BF$3&gt;=Palancas!$F$23),MIN(Palancas!$F$24,ROUND(Palancas!$F$24*(BF$3-Palancas!$F$23+1)/Palancas!$B$10,0)),0)+IF(AND(Palancas!$B$29=1,BF$3&gt;=Palancas!$B$31,BF$3&lt;=Palancas!$B$34),MIN(Palancas!$B$32,ROUND(Palancas!$B$32*(BF$3-Palancas!$B$31+1)/Palancas!$B$10,0)),0)</f>
        <v/>
      </c>
      <c r="BG9" s="37">
        <f>IF(AND(Palancas!$B$13=1,BG$3&gt;=Palancas!$B$15),MIN(Palancas!$B$16,ROUND(Palancas!$B$16*(BG$3-Palancas!$B$15+1)/Palancas!$B$10,0)),0)+IF(AND(Palancas!$F$13=1,BG$3&gt;=Palancas!$F$15),MIN(Palancas!$F$16,ROUND(Palancas!$F$16*(BG$3-Palancas!$F$15+1)/Palancas!$B$10,0)),0)+IF(AND(Palancas!$B$21=1,BG$3&gt;=Palancas!$B$23),MIN(Palancas!$B$24,ROUND(Palancas!$B$24*(BG$3-Palancas!$B$23+1)/Palancas!$B$10,0)),0)+IF(AND(Palancas!$F$21=1,BG$3&gt;=Palancas!$F$23),MIN(Palancas!$F$24,ROUND(Palancas!$F$24*(BG$3-Palancas!$F$23+1)/Palancas!$B$10,0)),0)+IF(AND(Palancas!$B$29=1,BG$3&gt;=Palancas!$B$31,BG$3&lt;=Palancas!$B$34),MIN(Palancas!$B$32,ROUND(Palancas!$B$32*(BG$3-Palancas!$B$31+1)/Palancas!$B$10,0)),0)</f>
        <v/>
      </c>
      <c r="BH9" s="37">
        <f>IF(AND(Palancas!$B$13=1,BH$3&gt;=Palancas!$B$15),MIN(Palancas!$B$16,ROUND(Palancas!$B$16*(BH$3-Palancas!$B$15+1)/Palancas!$B$10,0)),0)+IF(AND(Palancas!$F$13=1,BH$3&gt;=Palancas!$F$15),MIN(Palancas!$F$16,ROUND(Palancas!$F$16*(BH$3-Palancas!$F$15+1)/Palancas!$B$10,0)),0)+IF(AND(Palancas!$B$21=1,BH$3&gt;=Palancas!$B$23),MIN(Palancas!$B$24,ROUND(Palancas!$B$24*(BH$3-Palancas!$B$23+1)/Palancas!$B$10,0)),0)+IF(AND(Palancas!$F$21=1,BH$3&gt;=Palancas!$F$23),MIN(Palancas!$F$24,ROUND(Palancas!$F$24*(BH$3-Palancas!$F$23+1)/Palancas!$B$10,0)),0)+IF(AND(Palancas!$B$29=1,BH$3&gt;=Palancas!$B$31,BH$3&lt;=Palancas!$B$34),MIN(Palancas!$B$32,ROUND(Palancas!$B$32*(BH$3-Palancas!$B$31+1)/Palancas!$B$10,0)),0)</f>
        <v/>
      </c>
      <c r="BI9" s="37">
        <f>IF(AND(Palancas!$B$13=1,BI$3&gt;=Palancas!$B$15),MIN(Palancas!$B$16,ROUND(Palancas!$B$16*(BI$3-Palancas!$B$15+1)/Palancas!$B$10,0)),0)+IF(AND(Palancas!$F$13=1,BI$3&gt;=Palancas!$F$15),MIN(Palancas!$F$16,ROUND(Palancas!$F$16*(BI$3-Palancas!$F$15+1)/Palancas!$B$10,0)),0)+IF(AND(Palancas!$B$21=1,BI$3&gt;=Palancas!$B$23),MIN(Palancas!$B$24,ROUND(Palancas!$B$24*(BI$3-Palancas!$B$23+1)/Palancas!$B$10,0)),0)+IF(AND(Palancas!$F$21=1,BI$3&gt;=Palancas!$F$23),MIN(Palancas!$F$24,ROUND(Palancas!$F$24*(BI$3-Palancas!$F$23+1)/Palancas!$B$10,0)),0)+IF(AND(Palancas!$B$29=1,BI$3&gt;=Palancas!$B$31,BI$3&lt;=Palancas!$B$34),MIN(Palancas!$B$32,ROUND(Palancas!$B$32*(BI$3-Palancas!$B$31+1)/Palancas!$B$10,0)),0)</f>
        <v/>
      </c>
    </row>
    <row r="10">
      <c r="A10" s="29" t="inlineStr">
        <is>
          <t>Total restaurantes nuevos (mes)</t>
        </is>
      </c>
      <c r="B10" s="37">
        <f>B6+B7+B8+B9</f>
        <v/>
      </c>
      <c r="C10" s="37">
        <f>C6+C7+C8+C9</f>
        <v/>
      </c>
      <c r="D10" s="37">
        <f>D6+D7+D8+D9</f>
        <v/>
      </c>
      <c r="E10" s="37">
        <f>E6+E7+E8+E9</f>
        <v/>
      </c>
      <c r="F10" s="37">
        <f>F6+F7+F8+F9</f>
        <v/>
      </c>
      <c r="G10" s="37">
        <f>G6+G7+G8+G9</f>
        <v/>
      </c>
      <c r="H10" s="37">
        <f>H6+H7+H8+H9</f>
        <v/>
      </c>
      <c r="I10" s="37">
        <f>I6+I7+I8+I9</f>
        <v/>
      </c>
      <c r="J10" s="37">
        <f>J6+J7+J8+J9</f>
        <v/>
      </c>
      <c r="K10" s="37">
        <f>K6+K7+K8+K9</f>
        <v/>
      </c>
      <c r="L10" s="37">
        <f>L6+L7+L8+L9</f>
        <v/>
      </c>
      <c r="M10" s="37">
        <f>M6+M7+M8+M9</f>
        <v/>
      </c>
      <c r="N10" s="37">
        <f>N6+N7+N8+N9</f>
        <v/>
      </c>
      <c r="O10" s="37">
        <f>O6+O7+O8+O9</f>
        <v/>
      </c>
      <c r="P10" s="37">
        <f>P6+P7+P8+P9</f>
        <v/>
      </c>
      <c r="Q10" s="37">
        <f>Q6+Q7+Q8+Q9</f>
        <v/>
      </c>
      <c r="R10" s="37">
        <f>R6+R7+R8+R9</f>
        <v/>
      </c>
      <c r="S10" s="37">
        <f>S6+S7+S8+S9</f>
        <v/>
      </c>
      <c r="T10" s="37">
        <f>T6+T7+T8+T9</f>
        <v/>
      </c>
      <c r="U10" s="37">
        <f>U6+U7+U8+U9</f>
        <v/>
      </c>
      <c r="V10" s="37">
        <f>V6+V7+V8+V9</f>
        <v/>
      </c>
      <c r="W10" s="37">
        <f>W6+W7+W8+W9</f>
        <v/>
      </c>
      <c r="X10" s="37">
        <f>X6+X7+X8+X9</f>
        <v/>
      </c>
      <c r="Y10" s="37">
        <f>Y6+Y7+Y8+Y9</f>
        <v/>
      </c>
      <c r="Z10" s="37">
        <f>Z6+Z7+Z8+Z9</f>
        <v/>
      </c>
      <c r="AA10" s="37">
        <f>AA6+AA7+AA8+AA9</f>
        <v/>
      </c>
      <c r="AB10" s="37">
        <f>AB6+AB7+AB8+AB9</f>
        <v/>
      </c>
      <c r="AC10" s="37">
        <f>AC6+AC7+AC8+AC9</f>
        <v/>
      </c>
      <c r="AD10" s="37">
        <f>AD6+AD7+AD8+AD9</f>
        <v/>
      </c>
      <c r="AE10" s="37">
        <f>AE6+AE7+AE8+AE9</f>
        <v/>
      </c>
      <c r="AF10" s="37">
        <f>AF6+AF7+AF8+AF9</f>
        <v/>
      </c>
      <c r="AG10" s="37">
        <f>AG6+AG7+AG8+AG9</f>
        <v/>
      </c>
      <c r="AH10" s="37">
        <f>AH6+AH7+AH8+AH9</f>
        <v/>
      </c>
      <c r="AI10" s="37">
        <f>AI6+AI7+AI8+AI9</f>
        <v/>
      </c>
      <c r="AJ10" s="37">
        <f>AJ6+AJ7+AJ8+AJ9</f>
        <v/>
      </c>
      <c r="AK10" s="37">
        <f>AK6+AK7+AK8+AK9</f>
        <v/>
      </c>
      <c r="AL10" s="37">
        <f>AL6+AL7+AL8+AL9</f>
        <v/>
      </c>
      <c r="AM10" s="37">
        <f>AM6+AM7+AM8+AM9</f>
        <v/>
      </c>
      <c r="AN10" s="37">
        <f>AN6+AN7+AN8+AN9</f>
        <v/>
      </c>
      <c r="AO10" s="37">
        <f>AO6+AO7+AO8+AO9</f>
        <v/>
      </c>
      <c r="AP10" s="37">
        <f>AP6+AP7+AP8+AP9</f>
        <v/>
      </c>
      <c r="AQ10" s="37">
        <f>AQ6+AQ7+AQ8+AQ9</f>
        <v/>
      </c>
      <c r="AR10" s="37">
        <f>AR6+AR7+AR8+AR9</f>
        <v/>
      </c>
      <c r="AS10" s="37">
        <f>AS6+AS7+AS8+AS9</f>
        <v/>
      </c>
      <c r="AT10" s="37">
        <f>AT6+AT7+AT8+AT9</f>
        <v/>
      </c>
      <c r="AU10" s="37">
        <f>AU6+AU7+AU8+AU9</f>
        <v/>
      </c>
      <c r="AV10" s="37">
        <f>AV6+AV7+AV8+AV9</f>
        <v/>
      </c>
      <c r="AW10" s="37">
        <f>AW6+AW7+AW8+AW9</f>
        <v/>
      </c>
      <c r="AX10" s="37">
        <f>AX6+AX7+AX8+AX9</f>
        <v/>
      </c>
      <c r="AY10" s="37">
        <f>AY6+AY7+AY8+AY9</f>
        <v/>
      </c>
      <c r="AZ10" s="37">
        <f>AZ6+AZ7+AZ8+AZ9</f>
        <v/>
      </c>
      <c r="BA10" s="37">
        <f>BA6+BA7+BA8+BA9</f>
        <v/>
      </c>
      <c r="BB10" s="37">
        <f>BB6+BB7+BB8+BB9</f>
        <v/>
      </c>
      <c r="BC10" s="37">
        <f>BC6+BC7+BC8+BC9</f>
        <v/>
      </c>
      <c r="BD10" s="37">
        <f>BD6+BD7+BD8+BD9</f>
        <v/>
      </c>
      <c r="BE10" s="37">
        <f>BE6+BE7+BE8+BE9</f>
        <v/>
      </c>
      <c r="BF10" s="37">
        <f>BF6+BF7+BF8+BF9</f>
        <v/>
      </c>
      <c r="BG10" s="37">
        <f>BG6+BG7+BG8+BG9</f>
        <v/>
      </c>
      <c r="BH10" s="37">
        <f>BH6+BH7+BH8+BH9</f>
        <v/>
      </c>
      <c r="BI10" s="37">
        <f>BI6+BI7+BI8+BI9</f>
        <v/>
      </c>
    </row>
    <row r="11">
      <c r="A11" s="36" t="inlineStr">
        <is>
          <t>Churn de restaurantes</t>
        </is>
      </c>
      <c r="B11" s="37" t="n">
        <v>0</v>
      </c>
      <c r="C11" s="37">
        <f>ROUND(B12*'Supuestos Generales'!$B$18,0)</f>
        <v/>
      </c>
      <c r="D11" s="37">
        <f>ROUND(C12*'Supuestos Generales'!$B$18,0)</f>
        <v/>
      </c>
      <c r="E11" s="37">
        <f>ROUND(D12*'Supuestos Generales'!$B$18,0)</f>
        <v/>
      </c>
      <c r="F11" s="37">
        <f>ROUND(E12*'Supuestos Generales'!$B$18,0)</f>
        <v/>
      </c>
      <c r="G11" s="37">
        <f>ROUND(F12*'Supuestos Generales'!$B$18,0)</f>
        <v/>
      </c>
      <c r="H11" s="37">
        <f>ROUND(G12*'Supuestos Generales'!$B$18,0)</f>
        <v/>
      </c>
      <c r="I11" s="37">
        <f>ROUND(H12*'Supuestos Generales'!$B$18,0)</f>
        <v/>
      </c>
      <c r="J11" s="37">
        <f>ROUND(I12*'Supuestos Generales'!$B$18,0)</f>
        <v/>
      </c>
      <c r="K11" s="37">
        <f>ROUND(J12*'Supuestos Generales'!$B$18,0)</f>
        <v/>
      </c>
      <c r="L11" s="37">
        <f>ROUND(K12*'Supuestos Generales'!$B$18,0)</f>
        <v/>
      </c>
      <c r="M11" s="37">
        <f>ROUND(L12*'Supuestos Generales'!$B$18,0)</f>
        <v/>
      </c>
      <c r="N11" s="37">
        <f>ROUND(M12*'Supuestos Generales'!$B$18,0)</f>
        <v/>
      </c>
      <c r="O11" s="37">
        <f>ROUND(N12*'Supuestos Generales'!$B$18,0)</f>
        <v/>
      </c>
      <c r="P11" s="37">
        <f>ROUND(O12*'Supuestos Generales'!$B$18,0)</f>
        <v/>
      </c>
      <c r="Q11" s="37">
        <f>ROUND(P12*'Supuestos Generales'!$B$18,0)</f>
        <v/>
      </c>
      <c r="R11" s="37">
        <f>ROUND(Q12*'Supuestos Generales'!$B$18,0)</f>
        <v/>
      </c>
      <c r="S11" s="37">
        <f>ROUND(R12*'Supuestos Generales'!$B$18,0)</f>
        <v/>
      </c>
      <c r="T11" s="37">
        <f>ROUND(S12*'Supuestos Generales'!$B$18,0)</f>
        <v/>
      </c>
      <c r="U11" s="37">
        <f>ROUND(T12*'Supuestos Generales'!$B$18,0)</f>
        <v/>
      </c>
      <c r="V11" s="37">
        <f>ROUND(U12*'Supuestos Generales'!$B$18,0)</f>
        <v/>
      </c>
      <c r="W11" s="37">
        <f>ROUND(V12*'Supuestos Generales'!$B$18,0)</f>
        <v/>
      </c>
      <c r="X11" s="37">
        <f>ROUND(W12*'Supuestos Generales'!$B$18,0)</f>
        <v/>
      </c>
      <c r="Y11" s="37">
        <f>ROUND(X12*'Supuestos Generales'!$B$18,0)</f>
        <v/>
      </c>
      <c r="Z11" s="37">
        <f>ROUND(Y12*'Supuestos Generales'!$B$18,0)</f>
        <v/>
      </c>
      <c r="AA11" s="37">
        <f>ROUND(Z12*'Supuestos Generales'!$B$18,0)</f>
        <v/>
      </c>
      <c r="AB11" s="37">
        <f>ROUND(AA12*'Supuestos Generales'!$B$18,0)</f>
        <v/>
      </c>
      <c r="AC11" s="37">
        <f>ROUND(AB12*'Supuestos Generales'!$B$18,0)</f>
        <v/>
      </c>
      <c r="AD11" s="37">
        <f>ROUND(AC12*'Supuestos Generales'!$B$18,0)</f>
        <v/>
      </c>
      <c r="AE11" s="37">
        <f>ROUND(AD12*'Supuestos Generales'!$B$18,0)</f>
        <v/>
      </c>
      <c r="AF11" s="37">
        <f>ROUND(AE12*'Supuestos Generales'!$B$18,0)</f>
        <v/>
      </c>
      <c r="AG11" s="37">
        <f>ROUND(AF12*'Supuestos Generales'!$B$18,0)</f>
        <v/>
      </c>
      <c r="AH11" s="37">
        <f>ROUND(AG12*'Supuestos Generales'!$B$18,0)</f>
        <v/>
      </c>
      <c r="AI11" s="37">
        <f>ROUND(AH12*'Supuestos Generales'!$B$18,0)</f>
        <v/>
      </c>
      <c r="AJ11" s="37">
        <f>ROUND(AI12*'Supuestos Generales'!$B$18,0)</f>
        <v/>
      </c>
      <c r="AK11" s="37">
        <f>ROUND(AJ12*'Supuestos Generales'!$B$18,0)</f>
        <v/>
      </c>
      <c r="AL11" s="37">
        <f>ROUND(AK12*'Supuestos Generales'!$B$18,0)</f>
        <v/>
      </c>
      <c r="AM11" s="37">
        <f>ROUND(AL12*'Supuestos Generales'!$B$18,0)</f>
        <v/>
      </c>
      <c r="AN11" s="37">
        <f>ROUND(AM12*'Supuestos Generales'!$B$18,0)</f>
        <v/>
      </c>
      <c r="AO11" s="37">
        <f>ROUND(AN12*'Supuestos Generales'!$B$18,0)</f>
        <v/>
      </c>
      <c r="AP11" s="37">
        <f>ROUND(AO12*'Supuestos Generales'!$B$18,0)</f>
        <v/>
      </c>
      <c r="AQ11" s="37">
        <f>ROUND(AP12*'Supuestos Generales'!$B$18,0)</f>
        <v/>
      </c>
      <c r="AR11" s="37">
        <f>ROUND(AQ12*'Supuestos Generales'!$B$18,0)</f>
        <v/>
      </c>
      <c r="AS11" s="37">
        <f>ROUND(AR12*'Supuestos Generales'!$B$18,0)</f>
        <v/>
      </c>
      <c r="AT11" s="37">
        <f>ROUND(AS12*'Supuestos Generales'!$B$18,0)</f>
        <v/>
      </c>
      <c r="AU11" s="37">
        <f>ROUND(AT12*'Supuestos Generales'!$B$18,0)</f>
        <v/>
      </c>
      <c r="AV11" s="37">
        <f>ROUND(AU12*'Supuestos Generales'!$B$18,0)</f>
        <v/>
      </c>
      <c r="AW11" s="37">
        <f>ROUND(AV12*'Supuestos Generales'!$B$18,0)</f>
        <v/>
      </c>
      <c r="AX11" s="37">
        <f>ROUND(AW12*'Supuestos Generales'!$B$18,0)</f>
        <v/>
      </c>
      <c r="AY11" s="37">
        <f>ROUND(AX12*'Supuestos Generales'!$B$18,0)</f>
        <v/>
      </c>
      <c r="AZ11" s="37">
        <f>ROUND(AY12*'Supuestos Generales'!$B$18,0)</f>
        <v/>
      </c>
      <c r="BA11" s="37">
        <f>ROUND(AZ12*'Supuestos Generales'!$B$18,0)</f>
        <v/>
      </c>
      <c r="BB11" s="37">
        <f>ROUND(BA12*'Supuestos Generales'!$B$18,0)</f>
        <v/>
      </c>
      <c r="BC11" s="37">
        <f>ROUND(BB12*'Supuestos Generales'!$B$18,0)</f>
        <v/>
      </c>
      <c r="BD11" s="37">
        <f>ROUND(BC12*'Supuestos Generales'!$B$18,0)</f>
        <v/>
      </c>
      <c r="BE11" s="37">
        <f>ROUND(BD12*'Supuestos Generales'!$B$18,0)</f>
        <v/>
      </c>
      <c r="BF11" s="37">
        <f>ROUND(BE12*'Supuestos Generales'!$B$18,0)</f>
        <v/>
      </c>
      <c r="BG11" s="37">
        <f>ROUND(BF12*'Supuestos Generales'!$B$18,0)</f>
        <v/>
      </c>
      <c r="BH11" s="37">
        <f>ROUND(BG12*'Supuestos Generales'!$B$18,0)</f>
        <v/>
      </c>
      <c r="BI11" s="37">
        <f>ROUND(BH12*'Supuestos Generales'!$B$18,0)</f>
        <v/>
      </c>
    </row>
    <row r="12">
      <c r="A12" s="25" t="inlineStr">
        <is>
          <t>Restaurantes activos acumulados</t>
        </is>
      </c>
      <c r="B12" s="37">
        <f>B10-B11</f>
        <v/>
      </c>
      <c r="C12" s="37">
        <f>B12+C10-C11</f>
        <v/>
      </c>
      <c r="D12" s="37">
        <f>C12+D10-D11</f>
        <v/>
      </c>
      <c r="E12" s="37">
        <f>D12+E10-E11</f>
        <v/>
      </c>
      <c r="F12" s="37">
        <f>E12+F10-F11</f>
        <v/>
      </c>
      <c r="G12" s="37">
        <f>F12+G10-G11</f>
        <v/>
      </c>
      <c r="H12" s="37">
        <f>G12+H10-H11</f>
        <v/>
      </c>
      <c r="I12" s="37">
        <f>H12+I10-I11</f>
        <v/>
      </c>
      <c r="J12" s="37">
        <f>I12+J10-J11</f>
        <v/>
      </c>
      <c r="K12" s="37">
        <f>J12+K10-K11</f>
        <v/>
      </c>
      <c r="L12" s="37">
        <f>K12+L10-L11</f>
        <v/>
      </c>
      <c r="M12" s="37">
        <f>L12+M10-M11</f>
        <v/>
      </c>
      <c r="N12" s="37">
        <f>M12+N10-N11</f>
        <v/>
      </c>
      <c r="O12" s="37">
        <f>N12+O10-O11</f>
        <v/>
      </c>
      <c r="P12" s="37">
        <f>O12+P10-P11</f>
        <v/>
      </c>
      <c r="Q12" s="37">
        <f>P12+Q10-Q11</f>
        <v/>
      </c>
      <c r="R12" s="37">
        <f>Q12+R10-R11</f>
        <v/>
      </c>
      <c r="S12" s="37">
        <f>R12+S10-S11</f>
        <v/>
      </c>
      <c r="T12" s="37">
        <f>S12+T10-T11</f>
        <v/>
      </c>
      <c r="U12" s="37">
        <f>T12+U10-U11</f>
        <v/>
      </c>
      <c r="V12" s="37">
        <f>U12+V10-V11</f>
        <v/>
      </c>
      <c r="W12" s="37">
        <f>V12+W10-W11</f>
        <v/>
      </c>
      <c r="X12" s="37">
        <f>W12+X10-X11</f>
        <v/>
      </c>
      <c r="Y12" s="37">
        <f>X12+Y10-Y11</f>
        <v/>
      </c>
      <c r="Z12" s="37">
        <f>Y12+Z10-Z11</f>
        <v/>
      </c>
      <c r="AA12" s="37">
        <f>Z12+AA10-AA11</f>
        <v/>
      </c>
      <c r="AB12" s="37">
        <f>AA12+AB10-AB11</f>
        <v/>
      </c>
      <c r="AC12" s="37">
        <f>AB12+AC10-AC11</f>
        <v/>
      </c>
      <c r="AD12" s="37">
        <f>AC12+AD10-AD11</f>
        <v/>
      </c>
      <c r="AE12" s="37">
        <f>AD12+AE10-AE11</f>
        <v/>
      </c>
      <c r="AF12" s="37">
        <f>AE12+AF10-AF11</f>
        <v/>
      </c>
      <c r="AG12" s="37">
        <f>AF12+AG10-AG11</f>
        <v/>
      </c>
      <c r="AH12" s="37">
        <f>AG12+AH10-AH11</f>
        <v/>
      </c>
      <c r="AI12" s="37">
        <f>AH12+AI10-AI11</f>
        <v/>
      </c>
      <c r="AJ12" s="37">
        <f>AI12+AJ10-AJ11</f>
        <v/>
      </c>
      <c r="AK12" s="37">
        <f>AJ12+AK10-AK11</f>
        <v/>
      </c>
      <c r="AL12" s="37">
        <f>AK12+AL10-AL11</f>
        <v/>
      </c>
      <c r="AM12" s="37">
        <f>AL12+AM10-AM11</f>
        <v/>
      </c>
      <c r="AN12" s="37">
        <f>AM12+AN10-AN11</f>
        <v/>
      </c>
      <c r="AO12" s="37">
        <f>AN12+AO10-AO11</f>
        <v/>
      </c>
      <c r="AP12" s="37">
        <f>AO12+AP10-AP11</f>
        <v/>
      </c>
      <c r="AQ12" s="37">
        <f>AP12+AQ10-AQ11</f>
        <v/>
      </c>
      <c r="AR12" s="37">
        <f>AQ12+AR10-AR11</f>
        <v/>
      </c>
      <c r="AS12" s="37">
        <f>AR12+AS10-AS11</f>
        <v/>
      </c>
      <c r="AT12" s="37">
        <f>AS12+AT10-AT11</f>
        <v/>
      </c>
      <c r="AU12" s="37">
        <f>AT12+AU10-AU11</f>
        <v/>
      </c>
      <c r="AV12" s="37">
        <f>AU12+AV10-AV11</f>
        <v/>
      </c>
      <c r="AW12" s="37">
        <f>AV12+AW10-AW11</f>
        <v/>
      </c>
      <c r="AX12" s="37">
        <f>AW12+AX10-AX11</f>
        <v/>
      </c>
      <c r="AY12" s="37">
        <f>AX12+AY10-AY11</f>
        <v/>
      </c>
      <c r="AZ12" s="37">
        <f>AY12+AZ10-AZ11</f>
        <v/>
      </c>
      <c r="BA12" s="37">
        <f>AZ12+BA10-BA11</f>
        <v/>
      </c>
      <c r="BB12" s="37">
        <f>BA12+BB10-BB11</f>
        <v/>
      </c>
      <c r="BC12" s="37">
        <f>BB12+BC10-BC11</f>
        <v/>
      </c>
      <c r="BD12" s="37">
        <f>BC12+BD10-BD11</f>
        <v/>
      </c>
      <c r="BE12" s="37">
        <f>BD12+BE10-BE11</f>
        <v/>
      </c>
      <c r="BF12" s="37">
        <f>BE12+BF10-BF11</f>
        <v/>
      </c>
      <c r="BG12" s="37">
        <f>BF12+BG10-BG11</f>
        <v/>
      </c>
      <c r="BH12" s="37">
        <f>BG12+BH10-BH11</f>
        <v/>
      </c>
      <c r="BI12" s="37">
        <f>BH12+BI10-BI11</f>
        <v/>
      </c>
    </row>
    <row r="13">
      <c r="A13" s="503" t="inlineStr">
        <is>
          <t xml:space="preserve">  — Pequeños (Plan Light)</t>
        </is>
      </c>
      <c r="B13" s="504">
        <f>ROUND(B12*'Supuestos Generales'!$B$41,0)</f>
        <v/>
      </c>
      <c r="C13" s="504">
        <f>ROUND(C12*'Supuestos Generales'!$B$41,0)</f>
        <v/>
      </c>
      <c r="D13" s="504">
        <f>ROUND(D12*'Supuestos Generales'!$B$41,0)</f>
        <v/>
      </c>
      <c r="E13" s="504">
        <f>ROUND(E12*'Supuestos Generales'!$B$41,0)</f>
        <v/>
      </c>
      <c r="F13" s="504">
        <f>ROUND(F12*'Supuestos Generales'!$B$41,0)</f>
        <v/>
      </c>
      <c r="G13" s="504">
        <f>ROUND(G12*'Supuestos Generales'!$B$41,0)</f>
        <v/>
      </c>
      <c r="H13" s="504">
        <f>ROUND(H12*'Supuestos Generales'!$B$41,0)</f>
        <v/>
      </c>
      <c r="I13" s="504">
        <f>ROUND(I12*'Supuestos Generales'!$B$41,0)</f>
        <v/>
      </c>
      <c r="J13" s="504">
        <f>ROUND(J12*'Supuestos Generales'!$B$41,0)</f>
        <v/>
      </c>
      <c r="K13" s="504">
        <f>ROUND(K12*'Supuestos Generales'!$B$41,0)</f>
        <v/>
      </c>
      <c r="L13" s="504">
        <f>ROUND(L12*'Supuestos Generales'!$B$41,0)</f>
        <v/>
      </c>
      <c r="M13" s="504">
        <f>ROUND(M12*'Supuestos Generales'!$B$41,0)</f>
        <v/>
      </c>
      <c r="N13" s="504">
        <f>ROUND(N12*'Supuestos Generales'!$B$41,0)</f>
        <v/>
      </c>
      <c r="O13" s="504">
        <f>ROUND(O12*'Supuestos Generales'!$B$41,0)</f>
        <v/>
      </c>
      <c r="P13" s="504">
        <f>ROUND(P12*'Supuestos Generales'!$B$41,0)</f>
        <v/>
      </c>
      <c r="Q13" s="504">
        <f>ROUND(Q12*'Supuestos Generales'!$B$41,0)</f>
        <v/>
      </c>
      <c r="R13" s="504">
        <f>ROUND(R12*'Supuestos Generales'!$B$41,0)</f>
        <v/>
      </c>
      <c r="S13" s="504">
        <f>ROUND(S12*'Supuestos Generales'!$B$41,0)</f>
        <v/>
      </c>
      <c r="T13" s="504">
        <f>ROUND(T12*'Supuestos Generales'!$B$41,0)</f>
        <v/>
      </c>
      <c r="U13" s="504">
        <f>ROUND(U12*'Supuestos Generales'!$B$41,0)</f>
        <v/>
      </c>
      <c r="V13" s="504">
        <f>ROUND(V12*'Supuestos Generales'!$B$41,0)</f>
        <v/>
      </c>
      <c r="W13" s="504">
        <f>ROUND(W12*'Supuestos Generales'!$B$41,0)</f>
        <v/>
      </c>
      <c r="X13" s="504">
        <f>ROUND(X12*'Supuestos Generales'!$B$41,0)</f>
        <v/>
      </c>
      <c r="Y13" s="504">
        <f>ROUND(Y12*'Supuestos Generales'!$B$41,0)</f>
        <v/>
      </c>
      <c r="Z13" s="504">
        <f>ROUND(Z12*'Supuestos Generales'!$B$41,0)</f>
        <v/>
      </c>
      <c r="AA13" s="504">
        <f>ROUND(AA12*'Supuestos Generales'!$B$41,0)</f>
        <v/>
      </c>
      <c r="AB13" s="504">
        <f>ROUND(AB12*'Supuestos Generales'!$B$41,0)</f>
        <v/>
      </c>
      <c r="AC13" s="504">
        <f>ROUND(AC12*'Supuestos Generales'!$B$41,0)</f>
        <v/>
      </c>
      <c r="AD13" s="504">
        <f>ROUND(AD12*'Supuestos Generales'!$B$41,0)</f>
        <v/>
      </c>
      <c r="AE13" s="504">
        <f>ROUND(AE12*'Supuestos Generales'!$B$41,0)</f>
        <v/>
      </c>
      <c r="AF13" s="504">
        <f>ROUND(AF12*'Supuestos Generales'!$B$41,0)</f>
        <v/>
      </c>
      <c r="AG13" s="504">
        <f>ROUND(AG12*'Supuestos Generales'!$B$41,0)</f>
        <v/>
      </c>
      <c r="AH13" s="504">
        <f>ROUND(AH12*'Supuestos Generales'!$B$41,0)</f>
        <v/>
      </c>
      <c r="AI13" s="504">
        <f>ROUND(AI12*'Supuestos Generales'!$B$41,0)</f>
        <v/>
      </c>
      <c r="AJ13" s="504">
        <f>ROUND(AJ12*'Supuestos Generales'!$B$41,0)</f>
        <v/>
      </c>
      <c r="AK13" s="504">
        <f>ROUND(AK12*'Supuestos Generales'!$B$41,0)</f>
        <v/>
      </c>
      <c r="AL13" s="504">
        <f>ROUND(AL12*'Supuestos Generales'!$B$41,0)</f>
        <v/>
      </c>
      <c r="AM13" s="504">
        <f>ROUND(AM12*'Supuestos Generales'!$B$41,0)</f>
        <v/>
      </c>
      <c r="AN13" s="504">
        <f>ROUND(AN12*'Supuestos Generales'!$B$41,0)</f>
        <v/>
      </c>
      <c r="AO13" s="504">
        <f>ROUND(AO12*'Supuestos Generales'!$B$41,0)</f>
        <v/>
      </c>
      <c r="AP13" s="504">
        <f>ROUND(AP12*'Supuestos Generales'!$B$41,0)</f>
        <v/>
      </c>
      <c r="AQ13" s="504">
        <f>ROUND(AQ12*'Supuestos Generales'!$B$41,0)</f>
        <v/>
      </c>
      <c r="AR13" s="504">
        <f>ROUND(AR12*'Supuestos Generales'!$B$41,0)</f>
        <v/>
      </c>
      <c r="AS13" s="504">
        <f>ROUND(AS12*'Supuestos Generales'!$B$41,0)</f>
        <v/>
      </c>
      <c r="AT13" s="504">
        <f>ROUND(AT12*'Supuestos Generales'!$B$41,0)</f>
        <v/>
      </c>
      <c r="AU13" s="504">
        <f>ROUND(AU12*'Supuestos Generales'!$B$41,0)</f>
        <v/>
      </c>
      <c r="AV13" s="504">
        <f>ROUND(AV12*'Supuestos Generales'!$B$41,0)</f>
        <v/>
      </c>
      <c r="AW13" s="504">
        <f>ROUND(AW12*'Supuestos Generales'!$B$41,0)</f>
        <v/>
      </c>
      <c r="AX13" s="504">
        <f>ROUND(AX12*'Supuestos Generales'!$B$41,0)</f>
        <v/>
      </c>
      <c r="AY13" s="504">
        <f>ROUND(AY12*'Supuestos Generales'!$B$41,0)</f>
        <v/>
      </c>
      <c r="AZ13" s="504">
        <f>ROUND(AZ12*'Supuestos Generales'!$B$41,0)</f>
        <v/>
      </c>
      <c r="BA13" s="504">
        <f>ROUND(BA12*'Supuestos Generales'!$B$41,0)</f>
        <v/>
      </c>
      <c r="BB13" s="504">
        <f>ROUND(BB12*'Supuestos Generales'!$B$41,0)</f>
        <v/>
      </c>
      <c r="BC13" s="504">
        <f>ROUND(BC12*'Supuestos Generales'!$B$41,0)</f>
        <v/>
      </c>
      <c r="BD13" s="504">
        <f>ROUND(BD12*'Supuestos Generales'!$B$41,0)</f>
        <v/>
      </c>
      <c r="BE13" s="504">
        <f>ROUND(BE12*'Supuestos Generales'!$B$41,0)</f>
        <v/>
      </c>
      <c r="BF13" s="504">
        <f>ROUND(BF12*'Supuestos Generales'!$B$41,0)</f>
        <v/>
      </c>
      <c r="BG13" s="504">
        <f>ROUND(BG12*'Supuestos Generales'!$B$41,0)</f>
        <v/>
      </c>
      <c r="BH13" s="504">
        <f>ROUND(BH12*'Supuestos Generales'!$B$41,0)</f>
        <v/>
      </c>
      <c r="BI13" s="504">
        <f>ROUND(BI12*'Supuestos Generales'!$B$41,0)</f>
        <v/>
      </c>
    </row>
    <row r="14">
      <c r="A14" s="503" t="inlineStr">
        <is>
          <t xml:space="preserve">  — Medianos (Plan Standard)</t>
        </is>
      </c>
      <c r="B14" s="504">
        <f>ROUND(B12*'Supuestos Generales'!$B$42,0)</f>
        <v/>
      </c>
      <c r="C14" s="504">
        <f>ROUND(C12*'Supuestos Generales'!$B$42,0)</f>
        <v/>
      </c>
      <c r="D14" s="504">
        <f>ROUND(D12*'Supuestos Generales'!$B$42,0)</f>
        <v/>
      </c>
      <c r="E14" s="504">
        <f>ROUND(E12*'Supuestos Generales'!$B$42,0)</f>
        <v/>
      </c>
      <c r="F14" s="504">
        <f>ROUND(F12*'Supuestos Generales'!$B$42,0)</f>
        <v/>
      </c>
      <c r="G14" s="504">
        <f>ROUND(G12*'Supuestos Generales'!$B$42,0)</f>
        <v/>
      </c>
      <c r="H14" s="504">
        <f>ROUND(H12*'Supuestos Generales'!$B$42,0)</f>
        <v/>
      </c>
      <c r="I14" s="504">
        <f>ROUND(I12*'Supuestos Generales'!$B$42,0)</f>
        <v/>
      </c>
      <c r="J14" s="504">
        <f>ROUND(J12*'Supuestos Generales'!$B$42,0)</f>
        <v/>
      </c>
      <c r="K14" s="504">
        <f>ROUND(K12*'Supuestos Generales'!$B$42,0)</f>
        <v/>
      </c>
      <c r="L14" s="504">
        <f>ROUND(L12*'Supuestos Generales'!$B$42,0)</f>
        <v/>
      </c>
      <c r="M14" s="504">
        <f>ROUND(M12*'Supuestos Generales'!$B$42,0)</f>
        <v/>
      </c>
      <c r="N14" s="504">
        <f>ROUND(N12*'Supuestos Generales'!$B$42,0)</f>
        <v/>
      </c>
      <c r="O14" s="504">
        <f>ROUND(O12*'Supuestos Generales'!$B$42,0)</f>
        <v/>
      </c>
      <c r="P14" s="504">
        <f>ROUND(P12*'Supuestos Generales'!$B$42,0)</f>
        <v/>
      </c>
      <c r="Q14" s="504">
        <f>ROUND(Q12*'Supuestos Generales'!$B$42,0)</f>
        <v/>
      </c>
      <c r="R14" s="504">
        <f>ROUND(R12*'Supuestos Generales'!$B$42,0)</f>
        <v/>
      </c>
      <c r="S14" s="504">
        <f>ROUND(S12*'Supuestos Generales'!$B$42,0)</f>
        <v/>
      </c>
      <c r="T14" s="504">
        <f>ROUND(T12*'Supuestos Generales'!$B$42,0)</f>
        <v/>
      </c>
      <c r="U14" s="504">
        <f>ROUND(U12*'Supuestos Generales'!$B$42,0)</f>
        <v/>
      </c>
      <c r="V14" s="504">
        <f>ROUND(V12*'Supuestos Generales'!$B$42,0)</f>
        <v/>
      </c>
      <c r="W14" s="504">
        <f>ROUND(W12*'Supuestos Generales'!$B$42,0)</f>
        <v/>
      </c>
      <c r="X14" s="504">
        <f>ROUND(X12*'Supuestos Generales'!$B$42,0)</f>
        <v/>
      </c>
      <c r="Y14" s="504">
        <f>ROUND(Y12*'Supuestos Generales'!$B$42,0)</f>
        <v/>
      </c>
      <c r="Z14" s="504">
        <f>ROUND(Z12*'Supuestos Generales'!$B$42,0)</f>
        <v/>
      </c>
      <c r="AA14" s="504">
        <f>ROUND(AA12*'Supuestos Generales'!$B$42,0)</f>
        <v/>
      </c>
      <c r="AB14" s="504">
        <f>ROUND(AB12*'Supuestos Generales'!$B$42,0)</f>
        <v/>
      </c>
      <c r="AC14" s="504">
        <f>ROUND(AC12*'Supuestos Generales'!$B$42,0)</f>
        <v/>
      </c>
      <c r="AD14" s="504">
        <f>ROUND(AD12*'Supuestos Generales'!$B$42,0)</f>
        <v/>
      </c>
      <c r="AE14" s="504">
        <f>ROUND(AE12*'Supuestos Generales'!$B$42,0)</f>
        <v/>
      </c>
      <c r="AF14" s="504">
        <f>ROUND(AF12*'Supuestos Generales'!$B$42,0)</f>
        <v/>
      </c>
      <c r="AG14" s="504">
        <f>ROUND(AG12*'Supuestos Generales'!$B$42,0)</f>
        <v/>
      </c>
      <c r="AH14" s="504">
        <f>ROUND(AH12*'Supuestos Generales'!$B$42,0)</f>
        <v/>
      </c>
      <c r="AI14" s="504">
        <f>ROUND(AI12*'Supuestos Generales'!$B$42,0)</f>
        <v/>
      </c>
      <c r="AJ14" s="504">
        <f>ROUND(AJ12*'Supuestos Generales'!$B$42,0)</f>
        <v/>
      </c>
      <c r="AK14" s="504">
        <f>ROUND(AK12*'Supuestos Generales'!$B$42,0)</f>
        <v/>
      </c>
      <c r="AL14" s="504">
        <f>ROUND(AL12*'Supuestos Generales'!$B$42,0)</f>
        <v/>
      </c>
      <c r="AM14" s="504">
        <f>ROUND(AM12*'Supuestos Generales'!$B$42,0)</f>
        <v/>
      </c>
      <c r="AN14" s="504">
        <f>ROUND(AN12*'Supuestos Generales'!$B$42,0)</f>
        <v/>
      </c>
      <c r="AO14" s="504">
        <f>ROUND(AO12*'Supuestos Generales'!$B$42,0)</f>
        <v/>
      </c>
      <c r="AP14" s="504">
        <f>ROUND(AP12*'Supuestos Generales'!$B$42,0)</f>
        <v/>
      </c>
      <c r="AQ14" s="504">
        <f>ROUND(AQ12*'Supuestos Generales'!$B$42,0)</f>
        <v/>
      </c>
      <c r="AR14" s="504">
        <f>ROUND(AR12*'Supuestos Generales'!$B$42,0)</f>
        <v/>
      </c>
      <c r="AS14" s="504">
        <f>ROUND(AS12*'Supuestos Generales'!$B$42,0)</f>
        <v/>
      </c>
      <c r="AT14" s="504">
        <f>ROUND(AT12*'Supuestos Generales'!$B$42,0)</f>
        <v/>
      </c>
      <c r="AU14" s="504">
        <f>ROUND(AU12*'Supuestos Generales'!$B$42,0)</f>
        <v/>
      </c>
      <c r="AV14" s="504">
        <f>ROUND(AV12*'Supuestos Generales'!$B$42,0)</f>
        <v/>
      </c>
      <c r="AW14" s="504">
        <f>ROUND(AW12*'Supuestos Generales'!$B$42,0)</f>
        <v/>
      </c>
      <c r="AX14" s="504">
        <f>ROUND(AX12*'Supuestos Generales'!$B$42,0)</f>
        <v/>
      </c>
      <c r="AY14" s="504">
        <f>ROUND(AY12*'Supuestos Generales'!$B$42,0)</f>
        <v/>
      </c>
      <c r="AZ14" s="504">
        <f>ROUND(AZ12*'Supuestos Generales'!$B$42,0)</f>
        <v/>
      </c>
      <c r="BA14" s="504">
        <f>ROUND(BA12*'Supuestos Generales'!$B$42,0)</f>
        <v/>
      </c>
      <c r="BB14" s="504">
        <f>ROUND(BB12*'Supuestos Generales'!$B$42,0)</f>
        <v/>
      </c>
      <c r="BC14" s="504">
        <f>ROUND(BC12*'Supuestos Generales'!$B$42,0)</f>
        <v/>
      </c>
      <c r="BD14" s="504">
        <f>ROUND(BD12*'Supuestos Generales'!$B$42,0)</f>
        <v/>
      </c>
      <c r="BE14" s="504">
        <f>ROUND(BE12*'Supuestos Generales'!$B$42,0)</f>
        <v/>
      </c>
      <c r="BF14" s="504">
        <f>ROUND(BF12*'Supuestos Generales'!$B$42,0)</f>
        <v/>
      </c>
      <c r="BG14" s="504">
        <f>ROUND(BG12*'Supuestos Generales'!$B$42,0)</f>
        <v/>
      </c>
      <c r="BH14" s="504">
        <f>ROUND(BH12*'Supuestos Generales'!$B$42,0)</f>
        <v/>
      </c>
      <c r="BI14" s="504">
        <f>ROUND(BI12*'Supuestos Generales'!$B$42,0)</f>
        <v/>
      </c>
    </row>
    <row r="15">
      <c r="A15" s="503" t="inlineStr">
        <is>
          <t xml:space="preserve">  — Grandes (Plan Premium)</t>
        </is>
      </c>
      <c r="B15" s="504">
        <f>ROUND(B12*'Supuestos Generales'!$B$43,0)</f>
        <v/>
      </c>
      <c r="C15" s="504">
        <f>ROUND(C12*'Supuestos Generales'!$B$43,0)</f>
        <v/>
      </c>
      <c r="D15" s="504">
        <f>ROUND(D12*'Supuestos Generales'!$B$43,0)</f>
        <v/>
      </c>
      <c r="E15" s="504">
        <f>ROUND(E12*'Supuestos Generales'!$B$43,0)</f>
        <v/>
      </c>
      <c r="F15" s="504">
        <f>ROUND(F12*'Supuestos Generales'!$B$43,0)</f>
        <v/>
      </c>
      <c r="G15" s="504">
        <f>ROUND(G12*'Supuestos Generales'!$B$43,0)</f>
        <v/>
      </c>
      <c r="H15" s="504">
        <f>ROUND(H12*'Supuestos Generales'!$B$43,0)</f>
        <v/>
      </c>
      <c r="I15" s="504">
        <f>ROUND(I12*'Supuestos Generales'!$B$43,0)</f>
        <v/>
      </c>
      <c r="J15" s="504">
        <f>ROUND(J12*'Supuestos Generales'!$B$43,0)</f>
        <v/>
      </c>
      <c r="K15" s="504">
        <f>ROUND(K12*'Supuestos Generales'!$B$43,0)</f>
        <v/>
      </c>
      <c r="L15" s="504">
        <f>ROUND(L12*'Supuestos Generales'!$B$43,0)</f>
        <v/>
      </c>
      <c r="M15" s="504">
        <f>ROUND(M12*'Supuestos Generales'!$B$43,0)</f>
        <v/>
      </c>
      <c r="N15" s="504">
        <f>ROUND(N12*'Supuestos Generales'!$B$43,0)</f>
        <v/>
      </c>
      <c r="O15" s="504">
        <f>ROUND(O12*'Supuestos Generales'!$B$43,0)</f>
        <v/>
      </c>
      <c r="P15" s="504">
        <f>ROUND(P12*'Supuestos Generales'!$B$43,0)</f>
        <v/>
      </c>
      <c r="Q15" s="504">
        <f>ROUND(Q12*'Supuestos Generales'!$B$43,0)</f>
        <v/>
      </c>
      <c r="R15" s="504">
        <f>ROUND(R12*'Supuestos Generales'!$B$43,0)</f>
        <v/>
      </c>
      <c r="S15" s="504">
        <f>ROUND(S12*'Supuestos Generales'!$B$43,0)</f>
        <v/>
      </c>
      <c r="T15" s="504">
        <f>ROUND(T12*'Supuestos Generales'!$B$43,0)</f>
        <v/>
      </c>
      <c r="U15" s="504">
        <f>ROUND(U12*'Supuestos Generales'!$B$43,0)</f>
        <v/>
      </c>
      <c r="V15" s="504">
        <f>ROUND(V12*'Supuestos Generales'!$B$43,0)</f>
        <v/>
      </c>
      <c r="W15" s="504">
        <f>ROUND(W12*'Supuestos Generales'!$B$43,0)</f>
        <v/>
      </c>
      <c r="X15" s="504">
        <f>ROUND(X12*'Supuestos Generales'!$B$43,0)</f>
        <v/>
      </c>
      <c r="Y15" s="504">
        <f>ROUND(Y12*'Supuestos Generales'!$B$43,0)</f>
        <v/>
      </c>
      <c r="Z15" s="504">
        <f>ROUND(Z12*'Supuestos Generales'!$B$43,0)</f>
        <v/>
      </c>
      <c r="AA15" s="504">
        <f>ROUND(AA12*'Supuestos Generales'!$B$43,0)</f>
        <v/>
      </c>
      <c r="AB15" s="504">
        <f>ROUND(AB12*'Supuestos Generales'!$B$43,0)</f>
        <v/>
      </c>
      <c r="AC15" s="504">
        <f>ROUND(AC12*'Supuestos Generales'!$B$43,0)</f>
        <v/>
      </c>
      <c r="AD15" s="504">
        <f>ROUND(AD12*'Supuestos Generales'!$B$43,0)</f>
        <v/>
      </c>
      <c r="AE15" s="504">
        <f>ROUND(AE12*'Supuestos Generales'!$B$43,0)</f>
        <v/>
      </c>
      <c r="AF15" s="504">
        <f>ROUND(AF12*'Supuestos Generales'!$B$43,0)</f>
        <v/>
      </c>
      <c r="AG15" s="504">
        <f>ROUND(AG12*'Supuestos Generales'!$B$43,0)</f>
        <v/>
      </c>
      <c r="AH15" s="504">
        <f>ROUND(AH12*'Supuestos Generales'!$B$43,0)</f>
        <v/>
      </c>
      <c r="AI15" s="504">
        <f>ROUND(AI12*'Supuestos Generales'!$B$43,0)</f>
        <v/>
      </c>
      <c r="AJ15" s="504">
        <f>ROUND(AJ12*'Supuestos Generales'!$B$43,0)</f>
        <v/>
      </c>
      <c r="AK15" s="504">
        <f>ROUND(AK12*'Supuestos Generales'!$B$43,0)</f>
        <v/>
      </c>
      <c r="AL15" s="504">
        <f>ROUND(AL12*'Supuestos Generales'!$B$43,0)</f>
        <v/>
      </c>
      <c r="AM15" s="504">
        <f>ROUND(AM12*'Supuestos Generales'!$B$43,0)</f>
        <v/>
      </c>
      <c r="AN15" s="504">
        <f>ROUND(AN12*'Supuestos Generales'!$B$43,0)</f>
        <v/>
      </c>
      <c r="AO15" s="504">
        <f>ROUND(AO12*'Supuestos Generales'!$B$43,0)</f>
        <v/>
      </c>
      <c r="AP15" s="504">
        <f>ROUND(AP12*'Supuestos Generales'!$B$43,0)</f>
        <v/>
      </c>
      <c r="AQ15" s="504">
        <f>ROUND(AQ12*'Supuestos Generales'!$B$43,0)</f>
        <v/>
      </c>
      <c r="AR15" s="504">
        <f>ROUND(AR12*'Supuestos Generales'!$B$43,0)</f>
        <v/>
      </c>
      <c r="AS15" s="504">
        <f>ROUND(AS12*'Supuestos Generales'!$B$43,0)</f>
        <v/>
      </c>
      <c r="AT15" s="504">
        <f>ROUND(AT12*'Supuestos Generales'!$B$43,0)</f>
        <v/>
      </c>
      <c r="AU15" s="504">
        <f>ROUND(AU12*'Supuestos Generales'!$B$43,0)</f>
        <v/>
      </c>
      <c r="AV15" s="504">
        <f>ROUND(AV12*'Supuestos Generales'!$B$43,0)</f>
        <v/>
      </c>
      <c r="AW15" s="504">
        <f>ROUND(AW12*'Supuestos Generales'!$B$43,0)</f>
        <v/>
      </c>
      <c r="AX15" s="504">
        <f>ROUND(AX12*'Supuestos Generales'!$B$43,0)</f>
        <v/>
      </c>
      <c r="AY15" s="504">
        <f>ROUND(AY12*'Supuestos Generales'!$B$43,0)</f>
        <v/>
      </c>
      <c r="AZ15" s="504">
        <f>ROUND(AZ12*'Supuestos Generales'!$B$43,0)</f>
        <v/>
      </c>
      <c r="BA15" s="504">
        <f>ROUND(BA12*'Supuestos Generales'!$B$43,0)</f>
        <v/>
      </c>
      <c r="BB15" s="504">
        <f>ROUND(BB12*'Supuestos Generales'!$B$43,0)</f>
        <v/>
      </c>
      <c r="BC15" s="504">
        <f>ROUND(BC12*'Supuestos Generales'!$B$43,0)</f>
        <v/>
      </c>
      <c r="BD15" s="504">
        <f>ROUND(BD12*'Supuestos Generales'!$B$43,0)</f>
        <v/>
      </c>
      <c r="BE15" s="504">
        <f>ROUND(BE12*'Supuestos Generales'!$B$43,0)</f>
        <v/>
      </c>
      <c r="BF15" s="504">
        <f>ROUND(BF12*'Supuestos Generales'!$B$43,0)</f>
        <v/>
      </c>
      <c r="BG15" s="504">
        <f>ROUND(BG12*'Supuestos Generales'!$B$43,0)</f>
        <v/>
      </c>
      <c r="BH15" s="504">
        <f>ROUND(BH12*'Supuestos Generales'!$B$43,0)</f>
        <v/>
      </c>
      <c r="BI15" s="504">
        <f>ROUND(BI12*'Supuestos Generales'!$B$43,0)</f>
        <v/>
      </c>
    </row>
    <row r="17">
      <c r="A17" s="22" t="inlineStr">
        <is>
          <t>MESEROS</t>
        </is>
      </c>
    </row>
    <row r="18">
      <c r="A18" s="35" t="inlineStr">
        <is>
          <t>Meseros totales (activos acum. × meseros/rest.)</t>
        </is>
      </c>
      <c r="B18" s="37">
        <f>B12*'Supuestos Generales'!$B$19</f>
        <v/>
      </c>
      <c r="C18" s="37">
        <f>C12*'Supuestos Generales'!$B$19</f>
        <v/>
      </c>
      <c r="D18" s="37">
        <f>D12*'Supuestos Generales'!$B$19</f>
        <v/>
      </c>
      <c r="E18" s="37">
        <f>E12*'Supuestos Generales'!$B$19</f>
        <v/>
      </c>
      <c r="F18" s="37">
        <f>F12*'Supuestos Generales'!$B$19</f>
        <v/>
      </c>
      <c r="G18" s="37">
        <f>G12*'Supuestos Generales'!$B$19</f>
        <v/>
      </c>
      <c r="H18" s="37">
        <f>H12*'Supuestos Generales'!$B$19</f>
        <v/>
      </c>
      <c r="I18" s="37">
        <f>I12*'Supuestos Generales'!$B$19</f>
        <v/>
      </c>
      <c r="J18" s="37">
        <f>J12*'Supuestos Generales'!$B$19</f>
        <v/>
      </c>
      <c r="K18" s="37">
        <f>K12*'Supuestos Generales'!$B$19</f>
        <v/>
      </c>
      <c r="L18" s="37">
        <f>L12*'Supuestos Generales'!$B$19</f>
        <v/>
      </c>
      <c r="M18" s="37">
        <f>M12*'Supuestos Generales'!$B$19</f>
        <v/>
      </c>
      <c r="N18" s="37">
        <f>N12*'Supuestos Generales'!$B$19</f>
        <v/>
      </c>
      <c r="O18" s="37">
        <f>O12*'Supuestos Generales'!$B$19</f>
        <v/>
      </c>
      <c r="P18" s="37">
        <f>P12*'Supuestos Generales'!$B$19</f>
        <v/>
      </c>
      <c r="Q18" s="37">
        <f>Q12*'Supuestos Generales'!$B$19</f>
        <v/>
      </c>
      <c r="R18" s="37">
        <f>R12*'Supuestos Generales'!$B$19</f>
        <v/>
      </c>
      <c r="S18" s="37">
        <f>S12*'Supuestos Generales'!$B$19</f>
        <v/>
      </c>
      <c r="T18" s="37">
        <f>T12*'Supuestos Generales'!$B$19</f>
        <v/>
      </c>
      <c r="U18" s="37">
        <f>U12*'Supuestos Generales'!$B$19</f>
        <v/>
      </c>
      <c r="V18" s="37">
        <f>V12*'Supuestos Generales'!$B$19</f>
        <v/>
      </c>
      <c r="W18" s="37">
        <f>W12*'Supuestos Generales'!$B$19</f>
        <v/>
      </c>
      <c r="X18" s="37">
        <f>X12*'Supuestos Generales'!$B$19</f>
        <v/>
      </c>
      <c r="Y18" s="37">
        <f>Y12*'Supuestos Generales'!$B$19</f>
        <v/>
      </c>
      <c r="Z18" s="37">
        <f>Z12*'Supuestos Generales'!$B$19</f>
        <v/>
      </c>
      <c r="AA18" s="37">
        <f>AA12*'Supuestos Generales'!$B$19</f>
        <v/>
      </c>
      <c r="AB18" s="37">
        <f>AB12*'Supuestos Generales'!$B$19</f>
        <v/>
      </c>
      <c r="AC18" s="37">
        <f>AC12*'Supuestos Generales'!$B$19</f>
        <v/>
      </c>
      <c r="AD18" s="37">
        <f>AD12*'Supuestos Generales'!$B$19</f>
        <v/>
      </c>
      <c r="AE18" s="37">
        <f>AE12*'Supuestos Generales'!$B$19</f>
        <v/>
      </c>
      <c r="AF18" s="37">
        <f>AF12*'Supuestos Generales'!$B$19</f>
        <v/>
      </c>
      <c r="AG18" s="37">
        <f>AG12*'Supuestos Generales'!$B$19</f>
        <v/>
      </c>
      <c r="AH18" s="37">
        <f>AH12*'Supuestos Generales'!$B$19</f>
        <v/>
      </c>
      <c r="AI18" s="37">
        <f>AI12*'Supuestos Generales'!$B$19</f>
        <v/>
      </c>
      <c r="AJ18" s="37">
        <f>AJ12*'Supuestos Generales'!$B$19</f>
        <v/>
      </c>
      <c r="AK18" s="37">
        <f>AK12*'Supuestos Generales'!$B$19</f>
        <v/>
      </c>
      <c r="AL18" s="37">
        <f>AL12*'Supuestos Generales'!$B$19</f>
        <v/>
      </c>
      <c r="AM18" s="37">
        <f>AM12*'Supuestos Generales'!$B$19</f>
        <v/>
      </c>
      <c r="AN18" s="37">
        <f>AN12*'Supuestos Generales'!$B$19</f>
        <v/>
      </c>
      <c r="AO18" s="37">
        <f>AO12*'Supuestos Generales'!$B$19</f>
        <v/>
      </c>
      <c r="AP18" s="37">
        <f>AP12*'Supuestos Generales'!$B$19</f>
        <v/>
      </c>
      <c r="AQ18" s="37">
        <f>AQ12*'Supuestos Generales'!$B$19</f>
        <v/>
      </c>
      <c r="AR18" s="37">
        <f>AR12*'Supuestos Generales'!$B$19</f>
        <v/>
      </c>
      <c r="AS18" s="37">
        <f>AS12*'Supuestos Generales'!$B$19</f>
        <v/>
      </c>
      <c r="AT18" s="37">
        <f>AT12*'Supuestos Generales'!$B$19</f>
        <v/>
      </c>
      <c r="AU18" s="37">
        <f>AU12*'Supuestos Generales'!$B$19</f>
        <v/>
      </c>
      <c r="AV18" s="37">
        <f>AV12*'Supuestos Generales'!$B$19</f>
        <v/>
      </c>
      <c r="AW18" s="37">
        <f>AW12*'Supuestos Generales'!$B$19</f>
        <v/>
      </c>
      <c r="AX18" s="37">
        <f>AX12*'Supuestos Generales'!$B$19</f>
        <v/>
      </c>
      <c r="AY18" s="37">
        <f>AY12*'Supuestos Generales'!$B$19</f>
        <v/>
      </c>
      <c r="AZ18" s="37">
        <f>AZ12*'Supuestos Generales'!$B$19</f>
        <v/>
      </c>
      <c r="BA18" s="37">
        <f>BA12*'Supuestos Generales'!$B$19</f>
        <v/>
      </c>
      <c r="BB18" s="37">
        <f>BB12*'Supuestos Generales'!$B$19</f>
        <v/>
      </c>
      <c r="BC18" s="37">
        <f>BC12*'Supuestos Generales'!$B$19</f>
        <v/>
      </c>
      <c r="BD18" s="37">
        <f>BD12*'Supuestos Generales'!$B$19</f>
        <v/>
      </c>
      <c r="BE18" s="37">
        <f>BE12*'Supuestos Generales'!$B$19</f>
        <v/>
      </c>
      <c r="BF18" s="37">
        <f>BF12*'Supuestos Generales'!$B$19</f>
        <v/>
      </c>
      <c r="BG18" s="37">
        <f>BG12*'Supuestos Generales'!$B$19</f>
        <v/>
      </c>
      <c r="BH18" s="37">
        <f>BH12*'Supuestos Generales'!$B$19</f>
        <v/>
      </c>
      <c r="BI18" s="37">
        <f>BI12*'Supuestos Generales'!$B$19</f>
        <v/>
      </c>
    </row>
    <row r="19">
      <c r="A19" s="25" t="inlineStr">
        <is>
          <t>Meseros activos (× % activación)</t>
        </is>
      </c>
      <c r="B19" s="37">
        <f>B18*'Supuestos Generales'!$B$20</f>
        <v/>
      </c>
      <c r="C19" s="37">
        <f>C18*'Supuestos Generales'!$B$20</f>
        <v/>
      </c>
      <c r="D19" s="37">
        <f>D18*'Supuestos Generales'!$B$20</f>
        <v/>
      </c>
      <c r="E19" s="37">
        <f>E18*'Supuestos Generales'!$B$20</f>
        <v/>
      </c>
      <c r="F19" s="37">
        <f>F18*'Supuestos Generales'!$B$20</f>
        <v/>
      </c>
      <c r="G19" s="37">
        <f>G18*'Supuestos Generales'!$B$20</f>
        <v/>
      </c>
      <c r="H19" s="37">
        <f>H18*'Supuestos Generales'!$B$20</f>
        <v/>
      </c>
      <c r="I19" s="37">
        <f>I18*'Supuestos Generales'!$B$20</f>
        <v/>
      </c>
      <c r="J19" s="37">
        <f>J18*'Supuestos Generales'!$B$20</f>
        <v/>
      </c>
      <c r="K19" s="37">
        <f>K18*'Supuestos Generales'!$B$20</f>
        <v/>
      </c>
      <c r="L19" s="37">
        <f>L18*'Supuestos Generales'!$B$20</f>
        <v/>
      </c>
      <c r="M19" s="37">
        <f>M18*'Supuestos Generales'!$B$20</f>
        <v/>
      </c>
      <c r="N19" s="37">
        <f>N18*'Supuestos Generales'!$B$20</f>
        <v/>
      </c>
      <c r="O19" s="37">
        <f>O18*'Supuestos Generales'!$B$20</f>
        <v/>
      </c>
      <c r="P19" s="37">
        <f>P18*'Supuestos Generales'!$B$20</f>
        <v/>
      </c>
      <c r="Q19" s="37">
        <f>Q18*'Supuestos Generales'!$B$20</f>
        <v/>
      </c>
      <c r="R19" s="37">
        <f>R18*'Supuestos Generales'!$B$20</f>
        <v/>
      </c>
      <c r="S19" s="37">
        <f>S18*'Supuestos Generales'!$B$20</f>
        <v/>
      </c>
      <c r="T19" s="37">
        <f>T18*'Supuestos Generales'!$B$20</f>
        <v/>
      </c>
      <c r="U19" s="37">
        <f>U18*'Supuestos Generales'!$B$20</f>
        <v/>
      </c>
      <c r="V19" s="37">
        <f>V18*'Supuestos Generales'!$B$20</f>
        <v/>
      </c>
      <c r="W19" s="37">
        <f>W18*'Supuestos Generales'!$B$20</f>
        <v/>
      </c>
      <c r="X19" s="37">
        <f>X18*'Supuestos Generales'!$B$20</f>
        <v/>
      </c>
      <c r="Y19" s="37">
        <f>Y18*'Supuestos Generales'!$B$20</f>
        <v/>
      </c>
      <c r="Z19" s="37">
        <f>Z18*'Supuestos Generales'!$B$20</f>
        <v/>
      </c>
      <c r="AA19" s="37">
        <f>AA18*'Supuestos Generales'!$B$20</f>
        <v/>
      </c>
      <c r="AB19" s="37">
        <f>AB18*'Supuestos Generales'!$B$20</f>
        <v/>
      </c>
      <c r="AC19" s="37">
        <f>AC18*'Supuestos Generales'!$B$20</f>
        <v/>
      </c>
      <c r="AD19" s="37">
        <f>AD18*'Supuestos Generales'!$B$20</f>
        <v/>
      </c>
      <c r="AE19" s="37">
        <f>AE18*'Supuestos Generales'!$B$20</f>
        <v/>
      </c>
      <c r="AF19" s="37">
        <f>AF18*'Supuestos Generales'!$B$20</f>
        <v/>
      </c>
      <c r="AG19" s="37">
        <f>AG18*'Supuestos Generales'!$B$20</f>
        <v/>
      </c>
      <c r="AH19" s="37">
        <f>AH18*'Supuestos Generales'!$B$20</f>
        <v/>
      </c>
      <c r="AI19" s="37">
        <f>AI18*'Supuestos Generales'!$B$20</f>
        <v/>
      </c>
      <c r="AJ19" s="37">
        <f>AJ18*'Supuestos Generales'!$B$20</f>
        <v/>
      </c>
      <c r="AK19" s="37">
        <f>AK18*'Supuestos Generales'!$B$20</f>
        <v/>
      </c>
      <c r="AL19" s="37">
        <f>AL18*'Supuestos Generales'!$B$20</f>
        <v/>
      </c>
      <c r="AM19" s="37">
        <f>AM18*'Supuestos Generales'!$B$20</f>
        <v/>
      </c>
      <c r="AN19" s="37">
        <f>AN18*'Supuestos Generales'!$B$20</f>
        <v/>
      </c>
      <c r="AO19" s="37">
        <f>AO18*'Supuestos Generales'!$B$20</f>
        <v/>
      </c>
      <c r="AP19" s="37">
        <f>AP18*'Supuestos Generales'!$B$20</f>
        <v/>
      </c>
      <c r="AQ19" s="37">
        <f>AQ18*'Supuestos Generales'!$B$20</f>
        <v/>
      </c>
      <c r="AR19" s="37">
        <f>AR18*'Supuestos Generales'!$B$20</f>
        <v/>
      </c>
      <c r="AS19" s="37">
        <f>AS18*'Supuestos Generales'!$B$20</f>
        <v/>
      </c>
      <c r="AT19" s="37">
        <f>AT18*'Supuestos Generales'!$B$20</f>
        <v/>
      </c>
      <c r="AU19" s="37">
        <f>AU18*'Supuestos Generales'!$B$20</f>
        <v/>
      </c>
      <c r="AV19" s="37">
        <f>AV18*'Supuestos Generales'!$B$20</f>
        <v/>
      </c>
      <c r="AW19" s="37">
        <f>AW18*'Supuestos Generales'!$B$20</f>
        <v/>
      </c>
      <c r="AX19" s="37">
        <f>AX18*'Supuestos Generales'!$B$20</f>
        <v/>
      </c>
      <c r="AY19" s="37">
        <f>AY18*'Supuestos Generales'!$B$20</f>
        <v/>
      </c>
      <c r="AZ19" s="37">
        <f>AZ18*'Supuestos Generales'!$B$20</f>
        <v/>
      </c>
      <c r="BA19" s="37">
        <f>BA18*'Supuestos Generales'!$B$20</f>
        <v/>
      </c>
      <c r="BB19" s="37">
        <f>BB18*'Supuestos Generales'!$B$20</f>
        <v/>
      </c>
      <c r="BC19" s="37">
        <f>BC18*'Supuestos Generales'!$B$20</f>
        <v/>
      </c>
      <c r="BD19" s="37">
        <f>BD18*'Supuestos Generales'!$B$20</f>
        <v/>
      </c>
      <c r="BE19" s="37">
        <f>BE18*'Supuestos Generales'!$B$20</f>
        <v/>
      </c>
      <c r="BF19" s="37">
        <f>BF18*'Supuestos Generales'!$B$20</f>
        <v/>
      </c>
      <c r="BG19" s="37">
        <f>BG18*'Supuestos Generales'!$B$20</f>
        <v/>
      </c>
      <c r="BH19" s="37">
        <f>BH18*'Supuestos Generales'!$B$20</f>
        <v/>
      </c>
      <c r="BI19" s="37">
        <f>BI18*'Supuestos Generales'!$B$20</f>
        <v/>
      </c>
    </row>
    <row r="21">
      <c r="A21" s="22" t="inlineStr">
        <is>
          <t>MARCAS</t>
        </is>
      </c>
    </row>
    <row r="22">
      <c r="A22" s="35" t="inlineStr">
        <is>
          <t>Marcas promedio por restaurante</t>
        </is>
      </c>
      <c r="B22" s="38">
        <f>'Supuestos Generales'!$B$28</f>
        <v/>
      </c>
      <c r="C22" s="38">
        <f>B22*(1+'Supuestos Generales'!$B$29)</f>
        <v/>
      </c>
      <c r="D22" s="38">
        <f>C22*(1+'Supuestos Generales'!$B$29)</f>
        <v/>
      </c>
      <c r="E22" s="38">
        <f>D22*(1+'Supuestos Generales'!$B$29)</f>
        <v/>
      </c>
      <c r="F22" s="38">
        <f>E22*(1+'Supuestos Generales'!$B$29)</f>
        <v/>
      </c>
      <c r="G22" s="38">
        <f>F22*(1+'Supuestos Generales'!$B$29)</f>
        <v/>
      </c>
      <c r="H22" s="38">
        <f>G22*(1+'Supuestos Generales'!$B$29)</f>
        <v/>
      </c>
      <c r="I22" s="38">
        <f>H22*(1+'Supuestos Generales'!$B$29)</f>
        <v/>
      </c>
      <c r="J22" s="38">
        <f>I22*(1+'Supuestos Generales'!$B$29)</f>
        <v/>
      </c>
      <c r="K22" s="38">
        <f>J22*(1+'Supuestos Generales'!$B$29)</f>
        <v/>
      </c>
      <c r="L22" s="38">
        <f>K22*(1+'Supuestos Generales'!$B$29)</f>
        <v/>
      </c>
      <c r="M22" s="38">
        <f>L22*(1+'Supuestos Generales'!$B$29)</f>
        <v/>
      </c>
      <c r="N22" s="38">
        <f>M22*(1+'Supuestos Generales'!$B$29)</f>
        <v/>
      </c>
      <c r="O22" s="38">
        <f>N22*(1+'Supuestos Generales'!$B$29)</f>
        <v/>
      </c>
      <c r="P22" s="38">
        <f>O22*(1+'Supuestos Generales'!$B$29)</f>
        <v/>
      </c>
      <c r="Q22" s="38">
        <f>P22*(1+'Supuestos Generales'!$B$29)</f>
        <v/>
      </c>
      <c r="R22" s="38">
        <f>Q22*(1+'Supuestos Generales'!$B$29)</f>
        <v/>
      </c>
      <c r="S22" s="38">
        <f>R22*(1+'Supuestos Generales'!$B$29)</f>
        <v/>
      </c>
      <c r="T22" s="38">
        <f>S22*(1+'Supuestos Generales'!$B$29)</f>
        <v/>
      </c>
      <c r="U22" s="38">
        <f>T22*(1+'Supuestos Generales'!$B$29)</f>
        <v/>
      </c>
      <c r="V22" s="38">
        <f>U22*(1+'Supuestos Generales'!$B$29)</f>
        <v/>
      </c>
      <c r="W22" s="38">
        <f>V22*(1+'Supuestos Generales'!$B$29)</f>
        <v/>
      </c>
      <c r="X22" s="38">
        <f>W22*(1+'Supuestos Generales'!$B$29)</f>
        <v/>
      </c>
      <c r="Y22" s="38">
        <f>X22*(1+'Supuestos Generales'!$B$29)</f>
        <v/>
      </c>
      <c r="Z22" s="38">
        <f>Y22*(1+'Supuestos Generales'!$B$29)</f>
        <v/>
      </c>
      <c r="AA22" s="38">
        <f>Z22*(1+'Supuestos Generales'!$B$29)</f>
        <v/>
      </c>
      <c r="AB22" s="38">
        <f>AA22*(1+'Supuestos Generales'!$B$29)</f>
        <v/>
      </c>
      <c r="AC22" s="38">
        <f>AB22*(1+'Supuestos Generales'!$B$29)</f>
        <v/>
      </c>
      <c r="AD22" s="38">
        <f>AC22*(1+'Supuestos Generales'!$B$29)</f>
        <v/>
      </c>
      <c r="AE22" s="38">
        <f>AD22*(1+'Supuestos Generales'!$B$29)</f>
        <v/>
      </c>
      <c r="AF22" s="38">
        <f>AE22*(1+'Supuestos Generales'!$B$29)</f>
        <v/>
      </c>
      <c r="AG22" s="38">
        <f>AF22*(1+'Supuestos Generales'!$B$29)</f>
        <v/>
      </c>
      <c r="AH22" s="38">
        <f>AG22*(1+'Supuestos Generales'!$B$29)</f>
        <v/>
      </c>
      <c r="AI22" s="38">
        <f>AH22*(1+'Supuestos Generales'!$B$29)</f>
        <v/>
      </c>
      <c r="AJ22" s="38">
        <f>AI22*(1+'Supuestos Generales'!$B$29)</f>
        <v/>
      </c>
      <c r="AK22" s="38">
        <f>AJ22*(1+'Supuestos Generales'!$B$29)</f>
        <v/>
      </c>
      <c r="AL22" s="38">
        <f>AK22*(1+'Supuestos Generales'!$B$29)</f>
        <v/>
      </c>
      <c r="AM22" s="38">
        <f>AL22*(1+'Supuestos Generales'!$B$29)</f>
        <v/>
      </c>
      <c r="AN22" s="38">
        <f>AM22*(1+'Supuestos Generales'!$B$29)</f>
        <v/>
      </c>
      <c r="AO22" s="38">
        <f>AN22*(1+'Supuestos Generales'!$B$29)</f>
        <v/>
      </c>
      <c r="AP22" s="38">
        <f>AO22*(1+'Supuestos Generales'!$B$29)</f>
        <v/>
      </c>
      <c r="AQ22" s="38">
        <f>AP22*(1+'Supuestos Generales'!$B$29)</f>
        <v/>
      </c>
      <c r="AR22" s="38">
        <f>AQ22*(1+'Supuestos Generales'!$B$29)</f>
        <v/>
      </c>
      <c r="AS22" s="38">
        <f>AR22*(1+'Supuestos Generales'!$B$29)</f>
        <v/>
      </c>
      <c r="AT22" s="38">
        <f>AS22*(1+'Supuestos Generales'!$B$29)</f>
        <v/>
      </c>
      <c r="AU22" s="38">
        <f>AT22*(1+'Supuestos Generales'!$B$29)</f>
        <v/>
      </c>
      <c r="AV22" s="38">
        <f>AU22*(1+'Supuestos Generales'!$B$29)</f>
        <v/>
      </c>
      <c r="AW22" s="38">
        <f>AV22*(1+'Supuestos Generales'!$B$29)</f>
        <v/>
      </c>
      <c r="AX22" s="38">
        <f>AW22*(1+'Supuestos Generales'!$B$29)</f>
        <v/>
      </c>
      <c r="AY22" s="38">
        <f>AX22*(1+'Supuestos Generales'!$B$29)</f>
        <v/>
      </c>
      <c r="AZ22" s="38">
        <f>AY22*(1+'Supuestos Generales'!$B$29)</f>
        <v/>
      </c>
      <c r="BA22" s="38">
        <f>AZ22*(1+'Supuestos Generales'!$B$29)</f>
        <v/>
      </c>
      <c r="BB22" s="38">
        <f>BA22*(1+'Supuestos Generales'!$B$29)</f>
        <v/>
      </c>
      <c r="BC22" s="38">
        <f>BB22*(1+'Supuestos Generales'!$B$29)</f>
        <v/>
      </c>
      <c r="BD22" s="38">
        <f>BC22*(1+'Supuestos Generales'!$B$29)</f>
        <v/>
      </c>
      <c r="BE22" s="38">
        <f>BD22*(1+'Supuestos Generales'!$B$29)</f>
        <v/>
      </c>
      <c r="BF22" s="38">
        <f>BE22*(1+'Supuestos Generales'!$B$29)</f>
        <v/>
      </c>
      <c r="BG22" s="38">
        <f>BF22*(1+'Supuestos Generales'!$B$29)</f>
        <v/>
      </c>
      <c r="BH22" s="38">
        <f>BG22*(1+'Supuestos Generales'!$B$29)</f>
        <v/>
      </c>
      <c r="BI22" s="38">
        <f>BH22*(1+'Supuestos Generales'!$B$29)</f>
        <v/>
      </c>
    </row>
    <row r="23">
      <c r="A23" s="25" t="inlineStr">
        <is>
          <t>Total marcas×restaurantes activos</t>
        </is>
      </c>
      <c r="B23" s="37">
        <f>B22*B12</f>
        <v/>
      </c>
      <c r="C23" s="37">
        <f>C22*C12</f>
        <v/>
      </c>
      <c r="D23" s="37">
        <f>D22*D12</f>
        <v/>
      </c>
      <c r="E23" s="37">
        <f>E22*E12</f>
        <v/>
      </c>
      <c r="F23" s="37">
        <f>F22*F12</f>
        <v/>
      </c>
      <c r="G23" s="37">
        <f>G22*G12</f>
        <v/>
      </c>
      <c r="H23" s="37">
        <f>H22*H12</f>
        <v/>
      </c>
      <c r="I23" s="37">
        <f>I22*I12</f>
        <v/>
      </c>
      <c r="J23" s="37">
        <f>J22*J12</f>
        <v/>
      </c>
      <c r="K23" s="37">
        <f>K22*K12</f>
        <v/>
      </c>
      <c r="L23" s="37">
        <f>L22*L12</f>
        <v/>
      </c>
      <c r="M23" s="37">
        <f>M22*M12</f>
        <v/>
      </c>
      <c r="N23" s="37">
        <f>N22*N12</f>
        <v/>
      </c>
      <c r="O23" s="37">
        <f>O22*O12</f>
        <v/>
      </c>
      <c r="P23" s="37">
        <f>P22*P12</f>
        <v/>
      </c>
      <c r="Q23" s="37">
        <f>Q22*Q12</f>
        <v/>
      </c>
      <c r="R23" s="37">
        <f>R22*R12</f>
        <v/>
      </c>
      <c r="S23" s="37">
        <f>S22*S12</f>
        <v/>
      </c>
      <c r="T23" s="37">
        <f>T22*T12</f>
        <v/>
      </c>
      <c r="U23" s="37">
        <f>U22*U12</f>
        <v/>
      </c>
      <c r="V23" s="37">
        <f>V22*V12</f>
        <v/>
      </c>
      <c r="W23" s="37">
        <f>W22*W12</f>
        <v/>
      </c>
      <c r="X23" s="37">
        <f>X22*X12</f>
        <v/>
      </c>
      <c r="Y23" s="37">
        <f>Y22*Y12</f>
        <v/>
      </c>
      <c r="Z23" s="37">
        <f>Z22*Z12</f>
        <v/>
      </c>
      <c r="AA23" s="37">
        <f>AA22*AA12</f>
        <v/>
      </c>
      <c r="AB23" s="37">
        <f>AB22*AB12</f>
        <v/>
      </c>
      <c r="AC23" s="37">
        <f>AC22*AC12</f>
        <v/>
      </c>
      <c r="AD23" s="37">
        <f>AD22*AD12</f>
        <v/>
      </c>
      <c r="AE23" s="37">
        <f>AE22*AE12</f>
        <v/>
      </c>
      <c r="AF23" s="37">
        <f>AF22*AF12</f>
        <v/>
      </c>
      <c r="AG23" s="37">
        <f>AG22*AG12</f>
        <v/>
      </c>
      <c r="AH23" s="37">
        <f>AH22*AH12</f>
        <v/>
      </c>
      <c r="AI23" s="37">
        <f>AI22*AI12</f>
        <v/>
      </c>
      <c r="AJ23" s="37">
        <f>AJ22*AJ12</f>
        <v/>
      </c>
      <c r="AK23" s="37">
        <f>AK22*AK12</f>
        <v/>
      </c>
      <c r="AL23" s="37">
        <f>AL22*AL12</f>
        <v/>
      </c>
      <c r="AM23" s="37">
        <f>AM22*AM12</f>
        <v/>
      </c>
      <c r="AN23" s="37">
        <f>AN22*AN12</f>
        <v/>
      </c>
      <c r="AO23" s="37">
        <f>AO22*AO12</f>
        <v/>
      </c>
      <c r="AP23" s="37">
        <f>AP22*AP12</f>
        <v/>
      </c>
      <c r="AQ23" s="37">
        <f>AQ22*AQ12</f>
        <v/>
      </c>
      <c r="AR23" s="37">
        <f>AR22*AR12</f>
        <v/>
      </c>
      <c r="AS23" s="37">
        <f>AS22*AS12</f>
        <v/>
      </c>
      <c r="AT23" s="37">
        <f>AT22*AT12</f>
        <v/>
      </c>
      <c r="AU23" s="37">
        <f>AU22*AU12</f>
        <v/>
      </c>
      <c r="AV23" s="37">
        <f>AV22*AV12</f>
        <v/>
      </c>
      <c r="AW23" s="37">
        <f>AW22*AW12</f>
        <v/>
      </c>
      <c r="AX23" s="37">
        <f>AX22*AX12</f>
        <v/>
      </c>
      <c r="AY23" s="37">
        <f>AY22*AY12</f>
        <v/>
      </c>
      <c r="AZ23" s="37">
        <f>AZ22*AZ12</f>
        <v/>
      </c>
      <c r="BA23" s="37">
        <f>BA22*BA12</f>
        <v/>
      </c>
      <c r="BB23" s="37">
        <f>BB22*BB12</f>
        <v/>
      </c>
      <c r="BC23" s="37">
        <f>BC22*BC12</f>
        <v/>
      </c>
      <c r="BD23" s="37">
        <f>BD22*BD12</f>
        <v/>
      </c>
      <c r="BE23" s="37">
        <f>BE22*BE12</f>
        <v/>
      </c>
      <c r="BF23" s="37">
        <f>BF22*BF12</f>
        <v/>
      </c>
      <c r="BG23" s="37">
        <f>BG22*BG12</f>
        <v/>
      </c>
      <c r="BH23" s="37">
        <f>BH22*BH12</f>
        <v/>
      </c>
      <c r="BI23" s="37">
        <f>BI22*BI12</f>
        <v/>
      </c>
    </row>
  </sheetData>
  <pageMargins left="0.7" right="0.7" top="0.75" bottom="0.75" header="0.3" footer="0.3"/>
  <pageSetup orientation="portrait" horizontalDpi="0" verticalDpi="0"/>
  <legacyDrawing xmlns:r="http://schemas.openxmlformats.org/officeDocument/2006/relationships" r:id="anysvml"/>
</worksheet>
</file>

<file path=xl/worksheets/sheet9.xml><?xml version="1.0" encoding="utf-8"?>
<worksheet xmlns="http://schemas.openxmlformats.org/spreadsheetml/2006/main">
  <sheetPr>
    <tabColor rgb="FF548235"/>
    <outlinePr summaryBelow="1" summaryRight="1"/>
    <pageSetUpPr/>
  </sheetPr>
  <dimension ref="A1:BJ20"/>
  <sheetViews>
    <sheetView zoomScale="130" zoomScaleNormal="130" workbookViewId="0">
      <pane xSplit="4" ySplit="19" topLeftCell="BE20" activePane="bottomRight" state="frozen"/>
      <selection pane="topRight" activeCell="E1" sqref="E1"/>
      <selection pane="bottomLeft" activeCell="A19" sqref="A19"/>
      <selection pane="bottomRight" activeCell="BJ13" sqref="BJ13"/>
    </sheetView>
  </sheetViews>
  <sheetFormatPr baseColWidth="10" defaultRowHeight="16"/>
  <cols>
    <col width="32.1640625" customWidth="1" min="1" max="1"/>
    <col width="12.1640625" bestFit="1" customWidth="1" min="62" max="62"/>
  </cols>
  <sheetData>
    <row r="1" ht="19" customHeight="1">
      <c r="A1" s="21" t="inlineStr">
        <is>
          <t>INGRESOS — Proyección Mensual</t>
        </is>
      </c>
    </row>
    <row r="3">
      <c r="A3" s="22" t="inlineStr">
        <is>
          <t>Concepto</t>
        </is>
      </c>
      <c r="B3" s="34" t="n">
        <v>1</v>
      </c>
      <c r="C3" s="34" t="n">
        <v>2</v>
      </c>
      <c r="D3" s="34" t="n">
        <v>3</v>
      </c>
      <c r="E3" s="34" t="n">
        <v>4</v>
      </c>
      <c r="F3" s="34" t="n">
        <v>5</v>
      </c>
      <c r="G3" s="34" t="n">
        <v>6</v>
      </c>
      <c r="H3" s="34" t="n">
        <v>7</v>
      </c>
      <c r="I3" s="34" t="n">
        <v>8</v>
      </c>
      <c r="J3" s="34" t="n">
        <v>9</v>
      </c>
      <c r="K3" s="34" t="n">
        <v>10</v>
      </c>
      <c r="L3" s="34" t="n">
        <v>11</v>
      </c>
      <c r="M3" s="34" t="n">
        <v>12</v>
      </c>
      <c r="N3" s="34" t="n">
        <v>13</v>
      </c>
      <c r="O3" s="34" t="n">
        <v>14</v>
      </c>
      <c r="P3" s="34" t="n">
        <v>15</v>
      </c>
      <c r="Q3" s="34" t="n">
        <v>16</v>
      </c>
      <c r="R3" s="34" t="n">
        <v>17</v>
      </c>
      <c r="S3" s="34" t="n">
        <v>18</v>
      </c>
      <c r="T3" s="34" t="n">
        <v>19</v>
      </c>
      <c r="U3" s="34" t="n">
        <v>20</v>
      </c>
      <c r="V3" s="34" t="n">
        <v>21</v>
      </c>
      <c r="W3" s="34" t="n">
        <v>22</v>
      </c>
      <c r="X3" s="34" t="n">
        <v>23</v>
      </c>
      <c r="Y3" s="34" t="n">
        <v>24</v>
      </c>
      <c r="Z3" s="34" t="n">
        <v>25</v>
      </c>
      <c r="AA3" s="34" t="n">
        <v>26</v>
      </c>
      <c r="AB3" s="34" t="n">
        <v>27</v>
      </c>
      <c r="AC3" s="34" t="n">
        <v>28</v>
      </c>
      <c r="AD3" s="34" t="n">
        <v>29</v>
      </c>
      <c r="AE3" s="34" t="n">
        <v>30</v>
      </c>
      <c r="AF3" s="34" t="n">
        <v>31</v>
      </c>
      <c r="AG3" s="34" t="n">
        <v>32</v>
      </c>
      <c r="AH3" s="34" t="n">
        <v>33</v>
      </c>
      <c r="AI3" s="34" t="n">
        <v>34</v>
      </c>
      <c r="AJ3" s="34" t="n">
        <v>35</v>
      </c>
      <c r="AK3" s="34" t="n">
        <v>36</v>
      </c>
      <c r="AL3" s="34" t="n">
        <v>37</v>
      </c>
      <c r="AM3" s="34" t="n">
        <v>38</v>
      </c>
      <c r="AN3" s="34" t="n">
        <v>39</v>
      </c>
      <c r="AO3" s="34" t="n">
        <v>40</v>
      </c>
      <c r="AP3" s="34" t="n">
        <v>41</v>
      </c>
      <c r="AQ3" s="34" t="n">
        <v>42</v>
      </c>
      <c r="AR3" s="34" t="n">
        <v>43</v>
      </c>
      <c r="AS3" s="34" t="n">
        <v>44</v>
      </c>
      <c r="AT3" s="34" t="n">
        <v>45</v>
      </c>
      <c r="AU3" s="34" t="n">
        <v>46</v>
      </c>
      <c r="AV3" s="34" t="n">
        <v>47</v>
      </c>
      <c r="AW3" s="34" t="n">
        <v>48</v>
      </c>
      <c r="AX3" s="34" t="n">
        <v>49</v>
      </c>
      <c r="AY3" s="34" t="n">
        <v>50</v>
      </c>
      <c r="AZ3" s="34" t="n">
        <v>51</v>
      </c>
      <c r="BA3" s="34" t="n">
        <v>52</v>
      </c>
      <c r="BB3" s="34" t="n">
        <v>53</v>
      </c>
      <c r="BC3" s="34" t="n">
        <v>54</v>
      </c>
      <c r="BD3" s="34" t="n">
        <v>55</v>
      </c>
      <c r="BE3" s="34" t="n">
        <v>56</v>
      </c>
      <c r="BF3" s="34" t="n">
        <v>57</v>
      </c>
      <c r="BG3" s="34" t="n">
        <v>58</v>
      </c>
      <c r="BH3" s="34" t="n">
        <v>59</v>
      </c>
      <c r="BI3" s="34" t="n">
        <v>60</v>
      </c>
      <c r="BJ3" s="48" t="inlineStr">
        <is>
          <t>TOTAL</t>
        </is>
      </c>
    </row>
    <row r="5">
      <c r="A5" s="22" t="inlineStr">
        <is>
          <t>INGRESOS ONE-OFF</t>
        </is>
      </c>
    </row>
    <row r="6">
      <c r="A6" s="35" t="inlineStr">
        <is>
          <t>SetUp Fee (restaurantes nuevos)</t>
        </is>
      </c>
      <c r="B6" s="752">
        <f>Onboarding!B10*'Supuestos Generales'!$B$24</f>
        <v/>
      </c>
      <c r="C6" s="752">
        <f>Onboarding!C10*'Supuestos Generales'!$B$24</f>
        <v/>
      </c>
      <c r="D6" s="752">
        <f>Onboarding!D10*'Supuestos Generales'!$B$24</f>
        <v/>
      </c>
      <c r="E6" s="752">
        <f>Onboarding!E10*'Supuestos Generales'!$B$24</f>
        <v/>
      </c>
      <c r="F6" s="752">
        <f>Onboarding!F10*'Supuestos Generales'!$B$24</f>
        <v/>
      </c>
      <c r="G6" s="752">
        <f>Onboarding!G10*'Supuestos Generales'!$B$24</f>
        <v/>
      </c>
      <c r="H6" s="752">
        <f>Onboarding!H10*'Supuestos Generales'!$B$24</f>
        <v/>
      </c>
      <c r="I6" s="752">
        <f>Onboarding!I10*'Supuestos Generales'!$B$24</f>
        <v/>
      </c>
      <c r="J6" s="752">
        <f>Onboarding!J10*'Supuestos Generales'!$B$24</f>
        <v/>
      </c>
      <c r="K6" s="752">
        <f>Onboarding!K10*'Supuestos Generales'!$B$24</f>
        <v/>
      </c>
      <c r="L6" s="752">
        <f>Onboarding!L10*'Supuestos Generales'!$B$24</f>
        <v/>
      </c>
      <c r="M6" s="752">
        <f>Onboarding!M10*'Supuestos Generales'!$B$24</f>
        <v/>
      </c>
      <c r="N6" s="752">
        <f>Onboarding!N10*'Supuestos Generales'!$B$24</f>
        <v/>
      </c>
      <c r="O6" s="752">
        <f>Onboarding!O10*'Supuestos Generales'!$B$24</f>
        <v/>
      </c>
      <c r="P6" s="752">
        <f>Onboarding!P10*'Supuestos Generales'!$B$24</f>
        <v/>
      </c>
      <c r="Q6" s="752">
        <f>Onboarding!Q10*'Supuestos Generales'!$B$24</f>
        <v/>
      </c>
      <c r="R6" s="752">
        <f>Onboarding!R10*'Supuestos Generales'!$B$24</f>
        <v/>
      </c>
      <c r="S6" s="752">
        <f>Onboarding!S10*'Supuestos Generales'!$B$24</f>
        <v/>
      </c>
      <c r="T6" s="752">
        <f>Onboarding!T10*'Supuestos Generales'!$B$24</f>
        <v/>
      </c>
      <c r="U6" s="752">
        <f>Onboarding!U10*'Supuestos Generales'!$B$24</f>
        <v/>
      </c>
      <c r="V6" s="752">
        <f>Onboarding!V10*'Supuestos Generales'!$B$24</f>
        <v/>
      </c>
      <c r="W6" s="752">
        <f>Onboarding!W10*'Supuestos Generales'!$B$24</f>
        <v/>
      </c>
      <c r="X6" s="752">
        <f>Onboarding!X10*'Supuestos Generales'!$B$24</f>
        <v/>
      </c>
      <c r="Y6" s="752">
        <f>Onboarding!Y10*'Supuestos Generales'!$B$24</f>
        <v/>
      </c>
      <c r="Z6" s="752">
        <f>Onboarding!Z10*'Supuestos Generales'!$B$24</f>
        <v/>
      </c>
      <c r="AA6" s="752">
        <f>Onboarding!AA10*'Supuestos Generales'!$B$24</f>
        <v/>
      </c>
      <c r="AB6" s="752">
        <f>Onboarding!AB10*'Supuestos Generales'!$B$24</f>
        <v/>
      </c>
      <c r="AC6" s="752">
        <f>Onboarding!AC10*'Supuestos Generales'!$B$24</f>
        <v/>
      </c>
      <c r="AD6" s="752">
        <f>Onboarding!AD10*'Supuestos Generales'!$B$24</f>
        <v/>
      </c>
      <c r="AE6" s="752">
        <f>Onboarding!AE10*'Supuestos Generales'!$B$24</f>
        <v/>
      </c>
      <c r="AF6" s="752">
        <f>Onboarding!AF10*'Supuestos Generales'!$B$24</f>
        <v/>
      </c>
      <c r="AG6" s="752">
        <f>Onboarding!AG10*'Supuestos Generales'!$B$24</f>
        <v/>
      </c>
      <c r="AH6" s="752">
        <f>Onboarding!AH10*'Supuestos Generales'!$B$24</f>
        <v/>
      </c>
      <c r="AI6" s="752">
        <f>Onboarding!AI10*'Supuestos Generales'!$B$24</f>
        <v/>
      </c>
      <c r="AJ6" s="752">
        <f>Onboarding!AJ10*'Supuestos Generales'!$B$24</f>
        <v/>
      </c>
      <c r="AK6" s="752">
        <f>Onboarding!AK10*'Supuestos Generales'!$B$24</f>
        <v/>
      </c>
      <c r="AL6" s="752">
        <f>Onboarding!AL10*'Supuestos Generales'!$B$24</f>
        <v/>
      </c>
      <c r="AM6" s="752">
        <f>Onboarding!AM10*'Supuestos Generales'!$B$24</f>
        <v/>
      </c>
      <c r="AN6" s="752">
        <f>Onboarding!AN10*'Supuestos Generales'!$B$24</f>
        <v/>
      </c>
      <c r="AO6" s="752">
        <f>Onboarding!AO10*'Supuestos Generales'!$B$24</f>
        <v/>
      </c>
      <c r="AP6" s="752">
        <f>Onboarding!AP10*'Supuestos Generales'!$B$24</f>
        <v/>
      </c>
      <c r="AQ6" s="752">
        <f>Onboarding!AQ10*'Supuestos Generales'!$B$24</f>
        <v/>
      </c>
      <c r="AR6" s="752">
        <f>Onboarding!AR10*'Supuestos Generales'!$B$24</f>
        <v/>
      </c>
      <c r="AS6" s="752">
        <f>Onboarding!AS10*'Supuestos Generales'!$B$24</f>
        <v/>
      </c>
      <c r="AT6" s="752">
        <f>Onboarding!AT10*'Supuestos Generales'!$B$24</f>
        <v/>
      </c>
      <c r="AU6" s="752">
        <f>Onboarding!AU10*'Supuestos Generales'!$B$24</f>
        <v/>
      </c>
      <c r="AV6" s="752">
        <f>Onboarding!AV10*'Supuestos Generales'!$B$24</f>
        <v/>
      </c>
      <c r="AW6" s="752">
        <f>Onboarding!AW10*'Supuestos Generales'!$B$24</f>
        <v/>
      </c>
      <c r="AX6" s="752">
        <f>Onboarding!AX10*'Supuestos Generales'!$B$24</f>
        <v/>
      </c>
      <c r="AY6" s="752">
        <f>Onboarding!AY10*'Supuestos Generales'!$B$24</f>
        <v/>
      </c>
      <c r="AZ6" s="752">
        <f>Onboarding!AZ10*'Supuestos Generales'!$B$24</f>
        <v/>
      </c>
      <c r="BA6" s="752">
        <f>Onboarding!BA10*'Supuestos Generales'!$B$24</f>
        <v/>
      </c>
      <c r="BB6" s="752">
        <f>Onboarding!BB10*'Supuestos Generales'!$B$24</f>
        <v/>
      </c>
      <c r="BC6" s="752">
        <f>Onboarding!BC10*'Supuestos Generales'!$B$24</f>
        <v/>
      </c>
      <c r="BD6" s="752">
        <f>Onboarding!BD10*'Supuestos Generales'!$B$24</f>
        <v/>
      </c>
      <c r="BE6" s="752">
        <f>Onboarding!BE10*'Supuestos Generales'!$B$24</f>
        <v/>
      </c>
      <c r="BF6" s="752">
        <f>Onboarding!BF10*'Supuestos Generales'!$B$24</f>
        <v/>
      </c>
      <c r="BG6" s="752">
        <f>Onboarding!BG10*'Supuestos Generales'!$B$24</f>
        <v/>
      </c>
      <c r="BH6" s="752">
        <f>Onboarding!BH10*'Supuestos Generales'!$B$24</f>
        <v/>
      </c>
      <c r="BI6" s="752">
        <f>Onboarding!BI10*'Supuestos Generales'!$B$24</f>
        <v/>
      </c>
      <c r="BJ6" s="753">
        <f>SUM(B6:BI6)</f>
        <v/>
      </c>
    </row>
    <row r="7">
      <c r="A7" s="35" t="inlineStr">
        <is>
          <t>Entry Fee (nuevas marcas × restaurantes)</t>
        </is>
      </c>
      <c r="B7" s="752">
        <f>Onboarding!B10*MAX(Onboarding!B22-1,0)*'Supuestos Generales'!$B$25</f>
        <v/>
      </c>
      <c r="C7" s="752">
        <f>Onboarding!C10*MAX(Onboarding!C22-1,0)*'Supuestos Generales'!$B$25</f>
        <v/>
      </c>
      <c r="D7" s="752">
        <f>Onboarding!D10*MAX(Onboarding!D22-1,0)*'Supuestos Generales'!$B$25</f>
        <v/>
      </c>
      <c r="E7" s="752">
        <f>Onboarding!E10*MAX(Onboarding!E22-1,0)*'Supuestos Generales'!$B$25</f>
        <v/>
      </c>
      <c r="F7" s="752">
        <f>Onboarding!F10*MAX(Onboarding!F22-1,0)*'Supuestos Generales'!$B$25</f>
        <v/>
      </c>
      <c r="G7" s="752">
        <f>Onboarding!G10*MAX(Onboarding!G22-1,0)*'Supuestos Generales'!$B$25</f>
        <v/>
      </c>
      <c r="H7" s="752">
        <f>Onboarding!H10*MAX(Onboarding!H22-1,0)*'Supuestos Generales'!$B$25</f>
        <v/>
      </c>
      <c r="I7" s="752">
        <f>Onboarding!I10*MAX(Onboarding!I22-1,0)*'Supuestos Generales'!$B$25</f>
        <v/>
      </c>
      <c r="J7" s="752">
        <f>Onboarding!J10*MAX(Onboarding!J22-1,0)*'Supuestos Generales'!$B$25</f>
        <v/>
      </c>
      <c r="K7" s="752">
        <f>Onboarding!K10*MAX(Onboarding!K22-1,0)*'Supuestos Generales'!$B$25</f>
        <v/>
      </c>
      <c r="L7" s="752">
        <f>Onboarding!L10*MAX(Onboarding!L22-1,0)*'Supuestos Generales'!$B$25</f>
        <v/>
      </c>
      <c r="M7" s="752">
        <f>Onboarding!M10*MAX(Onboarding!M22-1,0)*'Supuestos Generales'!$B$25</f>
        <v/>
      </c>
      <c r="N7" s="752">
        <f>Onboarding!N10*MAX(Onboarding!N22-1,0)*'Supuestos Generales'!$B$25</f>
        <v/>
      </c>
      <c r="O7" s="752">
        <f>Onboarding!O10*MAX(Onboarding!O22-1,0)*'Supuestos Generales'!$B$25</f>
        <v/>
      </c>
      <c r="P7" s="752">
        <f>Onboarding!P10*MAX(Onboarding!P22-1,0)*'Supuestos Generales'!$B$25</f>
        <v/>
      </c>
      <c r="Q7" s="752">
        <f>Onboarding!Q10*MAX(Onboarding!Q22-1,0)*'Supuestos Generales'!$B$25</f>
        <v/>
      </c>
      <c r="R7" s="752">
        <f>Onboarding!R10*MAX(Onboarding!R22-1,0)*'Supuestos Generales'!$B$25</f>
        <v/>
      </c>
      <c r="S7" s="752">
        <f>Onboarding!S10*MAX(Onboarding!S22-1,0)*'Supuestos Generales'!$B$25</f>
        <v/>
      </c>
      <c r="T7" s="752">
        <f>Onboarding!T10*MAX(Onboarding!T22-1,0)*'Supuestos Generales'!$B$25</f>
        <v/>
      </c>
      <c r="U7" s="752">
        <f>Onboarding!U10*MAX(Onboarding!U22-1,0)*'Supuestos Generales'!$B$25</f>
        <v/>
      </c>
      <c r="V7" s="752">
        <f>Onboarding!V10*MAX(Onboarding!V22-1,0)*'Supuestos Generales'!$B$25</f>
        <v/>
      </c>
      <c r="W7" s="752">
        <f>Onboarding!W10*MAX(Onboarding!W22-1,0)*'Supuestos Generales'!$B$25</f>
        <v/>
      </c>
      <c r="X7" s="752">
        <f>Onboarding!X10*MAX(Onboarding!X22-1,0)*'Supuestos Generales'!$B$25</f>
        <v/>
      </c>
      <c r="Y7" s="752">
        <f>Onboarding!Y10*MAX(Onboarding!Y22-1,0)*'Supuestos Generales'!$B$25</f>
        <v/>
      </c>
      <c r="Z7" s="752">
        <f>Onboarding!Z10*MAX(Onboarding!Z22-1,0)*'Supuestos Generales'!$B$25</f>
        <v/>
      </c>
      <c r="AA7" s="752">
        <f>Onboarding!AA10*MAX(Onboarding!AA22-1,0)*'Supuestos Generales'!$B$25</f>
        <v/>
      </c>
      <c r="AB7" s="752">
        <f>Onboarding!AB10*MAX(Onboarding!AB22-1,0)*'Supuestos Generales'!$B$25</f>
        <v/>
      </c>
      <c r="AC7" s="752">
        <f>Onboarding!AC10*MAX(Onboarding!AC22-1,0)*'Supuestos Generales'!$B$25</f>
        <v/>
      </c>
      <c r="AD7" s="752">
        <f>Onboarding!AD10*MAX(Onboarding!AD22-1,0)*'Supuestos Generales'!$B$25</f>
        <v/>
      </c>
      <c r="AE7" s="752">
        <f>Onboarding!AE10*MAX(Onboarding!AE22-1,0)*'Supuestos Generales'!$B$25</f>
        <v/>
      </c>
      <c r="AF7" s="752">
        <f>Onboarding!AF10*MAX(Onboarding!AF22-1,0)*'Supuestos Generales'!$B$25</f>
        <v/>
      </c>
      <c r="AG7" s="752">
        <f>Onboarding!AG10*MAX(Onboarding!AG22-1,0)*'Supuestos Generales'!$B$25</f>
        <v/>
      </c>
      <c r="AH7" s="752">
        <f>Onboarding!AH10*MAX(Onboarding!AH22-1,0)*'Supuestos Generales'!$B$25</f>
        <v/>
      </c>
      <c r="AI7" s="752">
        <f>Onboarding!AI10*MAX(Onboarding!AI22-1,0)*'Supuestos Generales'!$B$25</f>
        <v/>
      </c>
      <c r="AJ7" s="752">
        <f>Onboarding!AJ10*MAX(Onboarding!AJ22-1,0)*'Supuestos Generales'!$B$25</f>
        <v/>
      </c>
      <c r="AK7" s="752">
        <f>Onboarding!AK10*MAX(Onboarding!AK22-1,0)*'Supuestos Generales'!$B$25</f>
        <v/>
      </c>
      <c r="AL7" s="752">
        <f>Onboarding!AL10*MAX(Onboarding!AL22-1,0)*'Supuestos Generales'!$B$25</f>
        <v/>
      </c>
      <c r="AM7" s="752">
        <f>Onboarding!AM10*MAX(Onboarding!AM22-1,0)*'Supuestos Generales'!$B$25</f>
        <v/>
      </c>
      <c r="AN7" s="752">
        <f>Onboarding!AN10*MAX(Onboarding!AN22-1,0)*'Supuestos Generales'!$B$25</f>
        <v/>
      </c>
      <c r="AO7" s="752">
        <f>Onboarding!AO10*MAX(Onboarding!AO22-1,0)*'Supuestos Generales'!$B$25</f>
        <v/>
      </c>
      <c r="AP7" s="752">
        <f>Onboarding!AP10*MAX(Onboarding!AP22-1,0)*'Supuestos Generales'!$B$25</f>
        <v/>
      </c>
      <c r="AQ7" s="752">
        <f>Onboarding!AQ10*MAX(Onboarding!AQ22-1,0)*'Supuestos Generales'!$B$25</f>
        <v/>
      </c>
      <c r="AR7" s="752">
        <f>Onboarding!AR10*MAX(Onboarding!AR22-1,0)*'Supuestos Generales'!$B$25</f>
        <v/>
      </c>
      <c r="AS7" s="752">
        <f>Onboarding!AS10*MAX(Onboarding!AS22-1,0)*'Supuestos Generales'!$B$25</f>
        <v/>
      </c>
      <c r="AT7" s="752">
        <f>Onboarding!AT10*MAX(Onboarding!AT22-1,0)*'Supuestos Generales'!$B$25</f>
        <v/>
      </c>
      <c r="AU7" s="752">
        <f>Onboarding!AU10*MAX(Onboarding!AU22-1,0)*'Supuestos Generales'!$B$25</f>
        <v/>
      </c>
      <c r="AV7" s="752">
        <f>Onboarding!AV10*MAX(Onboarding!AV22-1,0)*'Supuestos Generales'!$B$25</f>
        <v/>
      </c>
      <c r="AW7" s="752">
        <f>Onboarding!AW10*MAX(Onboarding!AW22-1,0)*'Supuestos Generales'!$B$25</f>
        <v/>
      </c>
      <c r="AX7" s="752">
        <f>Onboarding!AX10*MAX(Onboarding!AX22-1,0)*'Supuestos Generales'!$B$25</f>
        <v/>
      </c>
      <c r="AY7" s="752">
        <f>Onboarding!AY10*MAX(Onboarding!AY22-1,0)*'Supuestos Generales'!$B$25</f>
        <v/>
      </c>
      <c r="AZ7" s="752">
        <f>Onboarding!AZ10*MAX(Onboarding!AZ22-1,0)*'Supuestos Generales'!$B$25</f>
        <v/>
      </c>
      <c r="BA7" s="752">
        <f>Onboarding!BA10*MAX(Onboarding!BA22-1,0)*'Supuestos Generales'!$B$25</f>
        <v/>
      </c>
      <c r="BB7" s="752">
        <f>Onboarding!BB10*MAX(Onboarding!BB22-1,0)*'Supuestos Generales'!$B$25</f>
        <v/>
      </c>
      <c r="BC7" s="752">
        <f>Onboarding!BC10*MAX(Onboarding!BC22-1,0)*'Supuestos Generales'!$B$25</f>
        <v/>
      </c>
      <c r="BD7" s="752">
        <f>Onboarding!BD10*MAX(Onboarding!BD22-1,0)*'Supuestos Generales'!$B$25</f>
        <v/>
      </c>
      <c r="BE7" s="752">
        <f>Onboarding!BE10*MAX(Onboarding!BE22-1,0)*'Supuestos Generales'!$B$25</f>
        <v/>
      </c>
      <c r="BF7" s="752">
        <f>Onboarding!BF10*MAX(Onboarding!BF22-1,0)*'Supuestos Generales'!$B$25</f>
        <v/>
      </c>
      <c r="BG7" s="752">
        <f>Onboarding!BG10*MAX(Onboarding!BG22-1,0)*'Supuestos Generales'!$B$25</f>
        <v/>
      </c>
      <c r="BH7" s="752">
        <f>Onboarding!BH10*MAX(Onboarding!BH22-1,0)*'Supuestos Generales'!$B$25</f>
        <v/>
      </c>
      <c r="BI7" s="752">
        <f>Onboarding!BI10*MAX(Onboarding!BI22-1,0)*'Supuestos Generales'!$B$25</f>
        <v/>
      </c>
      <c r="BJ7" s="753">
        <f>SUM(B7:BI7)</f>
        <v/>
      </c>
    </row>
    <row r="8">
      <c r="A8" s="25" t="inlineStr">
        <is>
          <t>Total Ingresos One-Off</t>
        </is>
      </c>
      <c r="B8" s="753">
        <f>B6+B7</f>
        <v/>
      </c>
      <c r="C8" s="753">
        <f>C6+C7</f>
        <v/>
      </c>
      <c r="D8" s="753">
        <f>D6+D7</f>
        <v/>
      </c>
      <c r="E8" s="753">
        <f>E6+E7</f>
        <v/>
      </c>
      <c r="F8" s="753">
        <f>F6+F7</f>
        <v/>
      </c>
      <c r="G8" s="753">
        <f>G6+G7</f>
        <v/>
      </c>
      <c r="H8" s="753">
        <f>H6+H7</f>
        <v/>
      </c>
      <c r="I8" s="753">
        <f>I6+I7</f>
        <v/>
      </c>
      <c r="J8" s="753">
        <f>J6+J7</f>
        <v/>
      </c>
      <c r="K8" s="753">
        <f>K6+K7</f>
        <v/>
      </c>
      <c r="L8" s="753">
        <f>L6+L7</f>
        <v/>
      </c>
      <c r="M8" s="753">
        <f>M6+M7</f>
        <v/>
      </c>
      <c r="N8" s="753">
        <f>N6+N7</f>
        <v/>
      </c>
      <c r="O8" s="753">
        <f>O6+O7</f>
        <v/>
      </c>
      <c r="P8" s="753">
        <f>P6+P7</f>
        <v/>
      </c>
      <c r="Q8" s="753">
        <f>Q6+Q7</f>
        <v/>
      </c>
      <c r="R8" s="753">
        <f>R6+R7</f>
        <v/>
      </c>
      <c r="S8" s="753">
        <f>S6+S7</f>
        <v/>
      </c>
      <c r="T8" s="753">
        <f>T6+T7</f>
        <v/>
      </c>
      <c r="U8" s="753">
        <f>U6+U7</f>
        <v/>
      </c>
      <c r="V8" s="753">
        <f>V6+V7</f>
        <v/>
      </c>
      <c r="W8" s="753">
        <f>W6+W7</f>
        <v/>
      </c>
      <c r="X8" s="753">
        <f>X6+X7</f>
        <v/>
      </c>
      <c r="Y8" s="753">
        <f>Y6+Y7</f>
        <v/>
      </c>
      <c r="Z8" s="753">
        <f>Z6+Z7</f>
        <v/>
      </c>
      <c r="AA8" s="753">
        <f>AA6+AA7</f>
        <v/>
      </c>
      <c r="AB8" s="753">
        <f>AB6+AB7</f>
        <v/>
      </c>
      <c r="AC8" s="753">
        <f>AC6+AC7</f>
        <v/>
      </c>
      <c r="AD8" s="753">
        <f>AD6+AD7</f>
        <v/>
      </c>
      <c r="AE8" s="753">
        <f>AE6+AE7</f>
        <v/>
      </c>
      <c r="AF8" s="753">
        <f>AF6+AF7</f>
        <v/>
      </c>
      <c r="AG8" s="753">
        <f>AG6+AG7</f>
        <v/>
      </c>
      <c r="AH8" s="753">
        <f>AH6+AH7</f>
        <v/>
      </c>
      <c r="AI8" s="753">
        <f>AI6+AI7</f>
        <v/>
      </c>
      <c r="AJ8" s="753">
        <f>AJ6+AJ7</f>
        <v/>
      </c>
      <c r="AK8" s="753">
        <f>AK6+AK7</f>
        <v/>
      </c>
      <c r="AL8" s="753">
        <f>AL6+AL7</f>
        <v/>
      </c>
      <c r="AM8" s="753">
        <f>AM6+AM7</f>
        <v/>
      </c>
      <c r="AN8" s="753">
        <f>AN6+AN7</f>
        <v/>
      </c>
      <c r="AO8" s="753">
        <f>AO6+AO7</f>
        <v/>
      </c>
      <c r="AP8" s="753">
        <f>AP6+AP7</f>
        <v/>
      </c>
      <c r="AQ8" s="753">
        <f>AQ6+AQ7</f>
        <v/>
      </c>
      <c r="AR8" s="753">
        <f>AR6+AR7</f>
        <v/>
      </c>
      <c r="AS8" s="753">
        <f>AS6+AS7</f>
        <v/>
      </c>
      <c r="AT8" s="753">
        <f>AT6+AT7</f>
        <v/>
      </c>
      <c r="AU8" s="753">
        <f>AU6+AU7</f>
        <v/>
      </c>
      <c r="AV8" s="753">
        <f>AV6+AV7</f>
        <v/>
      </c>
      <c r="AW8" s="753">
        <f>AW6+AW7</f>
        <v/>
      </c>
      <c r="AX8" s="753">
        <f>AX6+AX7</f>
        <v/>
      </c>
      <c r="AY8" s="753">
        <f>AY6+AY7</f>
        <v/>
      </c>
      <c r="AZ8" s="753">
        <f>AZ6+AZ7</f>
        <v/>
      </c>
      <c r="BA8" s="753">
        <f>BA6+BA7</f>
        <v/>
      </c>
      <c r="BB8" s="753">
        <f>BB6+BB7</f>
        <v/>
      </c>
      <c r="BC8" s="753">
        <f>BC6+BC7</f>
        <v/>
      </c>
      <c r="BD8" s="753">
        <f>BD6+BD7</f>
        <v/>
      </c>
      <c r="BE8" s="753">
        <f>BE6+BE7</f>
        <v/>
      </c>
      <c r="BF8" s="753">
        <f>BF6+BF7</f>
        <v/>
      </c>
      <c r="BG8" s="753">
        <f>BG6+BG7</f>
        <v/>
      </c>
      <c r="BH8" s="753">
        <f>BH6+BH7</f>
        <v/>
      </c>
      <c r="BI8" s="753">
        <f>BI6+BI7</f>
        <v/>
      </c>
      <c r="BJ8" s="753">
        <f>SUM(B8:BI8)</f>
        <v/>
      </c>
    </row>
    <row r="10">
      <c r="A10" s="22" t="inlineStr">
        <is>
          <t>INGRESOS RECURRENTES</t>
        </is>
      </c>
    </row>
    <row r="11">
      <c r="A11" s="35" t="inlineStr">
        <is>
          <t>SaaS Fee Restaurante (por mesero)</t>
        </is>
      </c>
      <c r="B11" s="752">
        <f>Onboarding!B19*'Supuestos Generales'!$B$26</f>
        <v/>
      </c>
      <c r="C11" s="752">
        <f>Onboarding!C19*'Supuestos Generales'!$B$26</f>
        <v/>
      </c>
      <c r="D11" s="752">
        <f>Onboarding!D19*'Supuestos Generales'!$B$26</f>
        <v/>
      </c>
      <c r="E11" s="752">
        <f>Onboarding!E19*'Supuestos Generales'!$B$26</f>
        <v/>
      </c>
      <c r="F11" s="752">
        <f>Onboarding!F19*'Supuestos Generales'!$B$26</f>
        <v/>
      </c>
      <c r="G11" s="752">
        <f>Onboarding!G19*'Supuestos Generales'!$B$26</f>
        <v/>
      </c>
      <c r="H11" s="752">
        <f>Onboarding!H19*'Supuestos Generales'!$B$26</f>
        <v/>
      </c>
      <c r="I11" s="752">
        <f>Onboarding!I19*'Supuestos Generales'!$B$26</f>
        <v/>
      </c>
      <c r="J11" s="752">
        <f>Onboarding!J19*'Supuestos Generales'!$B$26</f>
        <v/>
      </c>
      <c r="K11" s="752">
        <f>Onboarding!K19*'Supuestos Generales'!$B$26</f>
        <v/>
      </c>
      <c r="L11" s="752">
        <f>Onboarding!L19*'Supuestos Generales'!$B$26</f>
        <v/>
      </c>
      <c r="M11" s="752">
        <f>Onboarding!M19*'Supuestos Generales'!$B$26</f>
        <v/>
      </c>
      <c r="N11" s="752">
        <f>Onboarding!N19*'Supuestos Generales'!$B$26</f>
        <v/>
      </c>
      <c r="O11" s="752">
        <f>Onboarding!O19*'Supuestos Generales'!$B$26</f>
        <v/>
      </c>
      <c r="P11" s="752">
        <f>Onboarding!P19*'Supuestos Generales'!$B$26</f>
        <v/>
      </c>
      <c r="Q11" s="752">
        <f>Onboarding!Q19*'Supuestos Generales'!$B$26</f>
        <v/>
      </c>
      <c r="R11" s="752">
        <f>Onboarding!R19*'Supuestos Generales'!$B$26</f>
        <v/>
      </c>
      <c r="S11" s="752">
        <f>Onboarding!S19*'Supuestos Generales'!$B$26</f>
        <v/>
      </c>
      <c r="T11" s="752">
        <f>Onboarding!T19*'Supuestos Generales'!$B$26</f>
        <v/>
      </c>
      <c r="U11" s="752">
        <f>Onboarding!U19*'Supuestos Generales'!$B$26</f>
        <v/>
      </c>
      <c r="V11" s="752">
        <f>Onboarding!V19*'Supuestos Generales'!$B$26</f>
        <v/>
      </c>
      <c r="W11" s="752">
        <f>Onboarding!W19*'Supuestos Generales'!$B$26</f>
        <v/>
      </c>
      <c r="X11" s="752">
        <f>Onboarding!X19*'Supuestos Generales'!$B$26</f>
        <v/>
      </c>
      <c r="Y11" s="752">
        <f>Onboarding!Y19*'Supuestos Generales'!$B$26</f>
        <v/>
      </c>
      <c r="Z11" s="752">
        <f>Onboarding!Z19*'Supuestos Generales'!$B$26</f>
        <v/>
      </c>
      <c r="AA11" s="752">
        <f>Onboarding!AA19*'Supuestos Generales'!$B$26</f>
        <v/>
      </c>
      <c r="AB11" s="752">
        <f>Onboarding!AB19*'Supuestos Generales'!$B$26</f>
        <v/>
      </c>
      <c r="AC11" s="752">
        <f>Onboarding!AC19*'Supuestos Generales'!$B$26</f>
        <v/>
      </c>
      <c r="AD11" s="752">
        <f>Onboarding!AD19*'Supuestos Generales'!$B$26</f>
        <v/>
      </c>
      <c r="AE11" s="752">
        <f>Onboarding!AE19*'Supuestos Generales'!$B$26</f>
        <v/>
      </c>
      <c r="AF11" s="752">
        <f>Onboarding!AF19*'Supuestos Generales'!$B$26</f>
        <v/>
      </c>
      <c r="AG11" s="752">
        <f>Onboarding!AG19*'Supuestos Generales'!$B$26</f>
        <v/>
      </c>
      <c r="AH11" s="752">
        <f>Onboarding!AH19*'Supuestos Generales'!$B$26</f>
        <v/>
      </c>
      <c r="AI11" s="752">
        <f>Onboarding!AI19*'Supuestos Generales'!$B$26</f>
        <v/>
      </c>
      <c r="AJ11" s="752">
        <f>Onboarding!AJ19*'Supuestos Generales'!$B$26</f>
        <v/>
      </c>
      <c r="AK11" s="752">
        <f>Onboarding!AK19*'Supuestos Generales'!$B$26</f>
        <v/>
      </c>
      <c r="AL11" s="752">
        <f>Onboarding!AL19*'Supuestos Generales'!$B$26</f>
        <v/>
      </c>
      <c r="AM11" s="752">
        <f>Onboarding!AM19*'Supuestos Generales'!$B$26</f>
        <v/>
      </c>
      <c r="AN11" s="752">
        <f>Onboarding!AN19*'Supuestos Generales'!$B$26</f>
        <v/>
      </c>
      <c r="AO11" s="752">
        <f>Onboarding!AO19*'Supuestos Generales'!$B$26</f>
        <v/>
      </c>
      <c r="AP11" s="752">
        <f>Onboarding!AP19*'Supuestos Generales'!$B$26</f>
        <v/>
      </c>
      <c r="AQ11" s="752">
        <f>Onboarding!AQ19*'Supuestos Generales'!$B$26</f>
        <v/>
      </c>
      <c r="AR11" s="752">
        <f>Onboarding!AR19*'Supuestos Generales'!$B$26</f>
        <v/>
      </c>
      <c r="AS11" s="752">
        <f>Onboarding!AS19*'Supuestos Generales'!$B$26</f>
        <v/>
      </c>
      <c r="AT11" s="752">
        <f>Onboarding!AT19*'Supuestos Generales'!$B$26</f>
        <v/>
      </c>
      <c r="AU11" s="752">
        <f>Onboarding!AU19*'Supuestos Generales'!$B$26</f>
        <v/>
      </c>
      <c r="AV11" s="752">
        <f>Onboarding!AV19*'Supuestos Generales'!$B$26</f>
        <v/>
      </c>
      <c r="AW11" s="752">
        <f>Onboarding!AW19*'Supuestos Generales'!$B$26</f>
        <v/>
      </c>
      <c r="AX11" s="752">
        <f>Onboarding!AX19*'Supuestos Generales'!$B$26</f>
        <v/>
      </c>
      <c r="AY11" s="752">
        <f>Onboarding!AY19*'Supuestos Generales'!$B$26</f>
        <v/>
      </c>
      <c r="AZ11" s="752">
        <f>Onboarding!AZ19*'Supuestos Generales'!$B$26</f>
        <v/>
      </c>
      <c r="BA11" s="752">
        <f>Onboarding!BA19*'Supuestos Generales'!$B$26</f>
        <v/>
      </c>
      <c r="BB11" s="752">
        <f>Onboarding!BB19*'Supuestos Generales'!$B$26</f>
        <v/>
      </c>
      <c r="BC11" s="752">
        <f>Onboarding!BC19*'Supuestos Generales'!$B$26</f>
        <v/>
      </c>
      <c r="BD11" s="752">
        <f>Onboarding!BD19*'Supuestos Generales'!$B$26</f>
        <v/>
      </c>
      <c r="BE11" s="752">
        <f>Onboarding!BE19*'Supuestos Generales'!$B$26</f>
        <v/>
      </c>
      <c r="BF11" s="752">
        <f>Onboarding!BF19*'Supuestos Generales'!$B$26</f>
        <v/>
      </c>
      <c r="BG11" s="752">
        <f>Onboarding!BG19*'Supuestos Generales'!$B$26</f>
        <v/>
      </c>
      <c r="BH11" s="752">
        <f>Onboarding!BH19*'Supuestos Generales'!$B$26</f>
        <v/>
      </c>
      <c r="BI11" s="752">
        <f>Onboarding!BI19*'Supuestos Generales'!$B$26</f>
        <v/>
      </c>
      <c r="BJ11" s="753">
        <f>SUM(B11:BI11)</f>
        <v/>
      </c>
    </row>
    <row r="12">
      <c r="A12" s="35" t="inlineStr">
        <is>
          <t>SaaS Fee Marcas (por mesero × marcas)</t>
        </is>
      </c>
      <c r="B12" s="752">
        <f>Onboarding!B19*Onboarding!B22*'Supuestos Generales'!$B$27</f>
        <v/>
      </c>
      <c r="C12" s="752">
        <f>Onboarding!C19*Onboarding!C22*'Supuestos Generales'!$B$27</f>
        <v/>
      </c>
      <c r="D12" s="752">
        <f>Onboarding!D19*Onboarding!D22*'Supuestos Generales'!$B$27</f>
        <v/>
      </c>
      <c r="E12" s="752">
        <f>Onboarding!E19*Onboarding!E22*'Supuestos Generales'!$B$27</f>
        <v/>
      </c>
      <c r="F12" s="752">
        <f>Onboarding!F19*Onboarding!F22*'Supuestos Generales'!$B$27</f>
        <v/>
      </c>
      <c r="G12" s="752">
        <f>Onboarding!G19*Onboarding!G22*'Supuestos Generales'!$B$27</f>
        <v/>
      </c>
      <c r="H12" s="752">
        <f>Onboarding!H19*Onboarding!H22*'Supuestos Generales'!$B$27</f>
        <v/>
      </c>
      <c r="I12" s="752">
        <f>Onboarding!I19*Onboarding!I22*'Supuestos Generales'!$B$27</f>
        <v/>
      </c>
      <c r="J12" s="752">
        <f>Onboarding!J19*Onboarding!J22*'Supuestos Generales'!$B$27</f>
        <v/>
      </c>
      <c r="K12" s="752">
        <f>Onboarding!K19*Onboarding!K22*'Supuestos Generales'!$B$27</f>
        <v/>
      </c>
      <c r="L12" s="752">
        <f>Onboarding!L19*Onboarding!L22*'Supuestos Generales'!$B$27</f>
        <v/>
      </c>
      <c r="M12" s="752">
        <f>Onboarding!M19*Onboarding!M22*'Supuestos Generales'!$B$27</f>
        <v/>
      </c>
      <c r="N12" s="752">
        <f>Onboarding!N19*Onboarding!N22*'Supuestos Generales'!$B$27</f>
        <v/>
      </c>
      <c r="O12" s="752">
        <f>Onboarding!O19*Onboarding!O22*'Supuestos Generales'!$B$27</f>
        <v/>
      </c>
      <c r="P12" s="752">
        <f>Onboarding!P19*Onboarding!P22*'Supuestos Generales'!$B$27</f>
        <v/>
      </c>
      <c r="Q12" s="752">
        <f>Onboarding!Q19*Onboarding!Q22*'Supuestos Generales'!$B$27</f>
        <v/>
      </c>
      <c r="R12" s="752">
        <f>Onboarding!R19*Onboarding!R22*'Supuestos Generales'!$B$27</f>
        <v/>
      </c>
      <c r="S12" s="752">
        <f>Onboarding!S19*Onboarding!S22*'Supuestos Generales'!$B$27</f>
        <v/>
      </c>
      <c r="T12" s="752">
        <f>Onboarding!T19*Onboarding!T22*'Supuestos Generales'!$B$27</f>
        <v/>
      </c>
      <c r="U12" s="752">
        <f>Onboarding!U19*Onboarding!U22*'Supuestos Generales'!$B$27</f>
        <v/>
      </c>
      <c r="V12" s="752">
        <f>Onboarding!V19*Onboarding!V22*'Supuestos Generales'!$B$27</f>
        <v/>
      </c>
      <c r="W12" s="752">
        <f>Onboarding!W19*Onboarding!W22*'Supuestos Generales'!$B$27</f>
        <v/>
      </c>
      <c r="X12" s="752">
        <f>Onboarding!X19*Onboarding!X22*'Supuestos Generales'!$B$27</f>
        <v/>
      </c>
      <c r="Y12" s="752">
        <f>Onboarding!Y19*Onboarding!Y22*'Supuestos Generales'!$B$27</f>
        <v/>
      </c>
      <c r="Z12" s="752">
        <f>Onboarding!Z19*Onboarding!Z22*'Supuestos Generales'!$B$27</f>
        <v/>
      </c>
      <c r="AA12" s="752">
        <f>Onboarding!AA19*Onboarding!AA22*'Supuestos Generales'!$B$27</f>
        <v/>
      </c>
      <c r="AB12" s="752">
        <f>Onboarding!AB19*Onboarding!AB22*'Supuestos Generales'!$B$27</f>
        <v/>
      </c>
      <c r="AC12" s="752">
        <f>Onboarding!AC19*Onboarding!AC22*'Supuestos Generales'!$B$27</f>
        <v/>
      </c>
      <c r="AD12" s="752">
        <f>Onboarding!AD19*Onboarding!AD22*'Supuestos Generales'!$B$27</f>
        <v/>
      </c>
      <c r="AE12" s="752">
        <f>Onboarding!AE19*Onboarding!AE22*'Supuestos Generales'!$B$27</f>
        <v/>
      </c>
      <c r="AF12" s="752">
        <f>Onboarding!AF19*Onboarding!AF22*'Supuestos Generales'!$B$27</f>
        <v/>
      </c>
      <c r="AG12" s="752">
        <f>Onboarding!AG19*Onboarding!AG22*'Supuestos Generales'!$B$27</f>
        <v/>
      </c>
      <c r="AH12" s="752">
        <f>Onboarding!AH19*Onboarding!AH22*'Supuestos Generales'!$B$27</f>
        <v/>
      </c>
      <c r="AI12" s="752">
        <f>Onboarding!AI19*Onboarding!AI22*'Supuestos Generales'!$B$27</f>
        <v/>
      </c>
      <c r="AJ12" s="752">
        <f>Onboarding!AJ19*Onboarding!AJ22*'Supuestos Generales'!$B$27</f>
        <v/>
      </c>
      <c r="AK12" s="752">
        <f>Onboarding!AK19*Onboarding!AK22*'Supuestos Generales'!$B$27</f>
        <v/>
      </c>
      <c r="AL12" s="752">
        <f>Onboarding!AL19*Onboarding!AL22*'Supuestos Generales'!$B$27</f>
        <v/>
      </c>
      <c r="AM12" s="752">
        <f>Onboarding!AM19*Onboarding!AM22*'Supuestos Generales'!$B$27</f>
        <v/>
      </c>
      <c r="AN12" s="752">
        <f>Onboarding!AN19*Onboarding!AN22*'Supuestos Generales'!$B$27</f>
        <v/>
      </c>
      <c r="AO12" s="752">
        <f>Onboarding!AO19*Onboarding!AO22*'Supuestos Generales'!$B$27</f>
        <v/>
      </c>
      <c r="AP12" s="752">
        <f>Onboarding!AP19*Onboarding!AP22*'Supuestos Generales'!$B$27</f>
        <v/>
      </c>
      <c r="AQ12" s="752">
        <f>Onboarding!AQ19*Onboarding!AQ22*'Supuestos Generales'!$B$27</f>
        <v/>
      </c>
      <c r="AR12" s="752">
        <f>Onboarding!AR19*Onboarding!AR22*'Supuestos Generales'!$B$27</f>
        <v/>
      </c>
      <c r="AS12" s="752">
        <f>Onboarding!AS19*Onboarding!AS22*'Supuestos Generales'!$B$27</f>
        <v/>
      </c>
      <c r="AT12" s="752">
        <f>Onboarding!AT19*Onboarding!AT22*'Supuestos Generales'!$B$27</f>
        <v/>
      </c>
      <c r="AU12" s="752">
        <f>Onboarding!AU19*Onboarding!AU22*'Supuestos Generales'!$B$27</f>
        <v/>
      </c>
      <c r="AV12" s="752">
        <f>Onboarding!AV19*Onboarding!AV22*'Supuestos Generales'!$B$27</f>
        <v/>
      </c>
      <c r="AW12" s="752">
        <f>Onboarding!AW19*Onboarding!AW22*'Supuestos Generales'!$B$27</f>
        <v/>
      </c>
      <c r="AX12" s="752">
        <f>Onboarding!AX19*Onboarding!AX22*'Supuestos Generales'!$B$27</f>
        <v/>
      </c>
      <c r="AY12" s="752">
        <f>Onboarding!AY19*Onboarding!AY22*'Supuestos Generales'!$B$27</f>
        <v/>
      </c>
      <c r="AZ12" s="752">
        <f>Onboarding!AZ19*Onboarding!AZ22*'Supuestos Generales'!$B$27</f>
        <v/>
      </c>
      <c r="BA12" s="752">
        <f>Onboarding!BA19*Onboarding!BA22*'Supuestos Generales'!$B$27</f>
        <v/>
      </c>
      <c r="BB12" s="752">
        <f>Onboarding!BB19*Onboarding!BB22*'Supuestos Generales'!$B$27</f>
        <v/>
      </c>
      <c r="BC12" s="752">
        <f>Onboarding!BC19*Onboarding!BC22*'Supuestos Generales'!$B$27</f>
        <v/>
      </c>
      <c r="BD12" s="752">
        <f>Onboarding!BD19*Onboarding!BD22*'Supuestos Generales'!$B$27</f>
        <v/>
      </c>
      <c r="BE12" s="752">
        <f>Onboarding!BE19*Onboarding!BE22*'Supuestos Generales'!$B$27</f>
        <v/>
      </c>
      <c r="BF12" s="752">
        <f>Onboarding!BF19*Onboarding!BF22*'Supuestos Generales'!$B$27</f>
        <v/>
      </c>
      <c r="BG12" s="752">
        <f>Onboarding!BG19*Onboarding!BG22*'Supuestos Generales'!$B$27</f>
        <v/>
      </c>
      <c r="BH12" s="752">
        <f>Onboarding!BH19*Onboarding!BH22*'Supuestos Generales'!$B$27</f>
        <v/>
      </c>
      <c r="BI12" s="752">
        <f>Onboarding!BI19*Onboarding!BI22*'Supuestos Generales'!$B$27</f>
        <v/>
      </c>
      <c r="BJ12" s="753">
        <f>SUM(B12:BI12)</f>
        <v/>
      </c>
    </row>
    <row r="13">
      <c r="A13" s="35" t="inlineStr">
        <is>
          <t>Fee Upgrade de Plan</t>
        </is>
      </c>
      <c r="B13" s="754">
        <f>Onboarding!B12*'Supuestos Generales'!$B$59*'Supuestos Generales'!$B$60</f>
        <v/>
      </c>
      <c r="C13" s="754">
        <f>Onboarding!C12*'Supuestos Generales'!$B$59*'Supuestos Generales'!$B$60</f>
        <v/>
      </c>
      <c r="D13" s="754">
        <f>Onboarding!D12*'Supuestos Generales'!$B$59*'Supuestos Generales'!$B$60</f>
        <v/>
      </c>
      <c r="E13" s="754">
        <f>Onboarding!E12*'Supuestos Generales'!$B$59*'Supuestos Generales'!$B$60</f>
        <v/>
      </c>
      <c r="F13" s="754">
        <f>Onboarding!F12*'Supuestos Generales'!$B$59*'Supuestos Generales'!$B$60</f>
        <v/>
      </c>
      <c r="G13" s="754">
        <f>Onboarding!G12*'Supuestos Generales'!$B$59*'Supuestos Generales'!$B$60</f>
        <v/>
      </c>
      <c r="H13" s="754">
        <f>Onboarding!H12*'Supuestos Generales'!$B$59*'Supuestos Generales'!$B$60</f>
        <v/>
      </c>
      <c r="I13" s="754">
        <f>Onboarding!I12*'Supuestos Generales'!$B$59*'Supuestos Generales'!$B$60</f>
        <v/>
      </c>
      <c r="J13" s="754">
        <f>Onboarding!J12*'Supuestos Generales'!$B$59*'Supuestos Generales'!$B$60</f>
        <v/>
      </c>
      <c r="K13" s="754">
        <f>Onboarding!K12*'Supuestos Generales'!$B$59*'Supuestos Generales'!$B$60</f>
        <v/>
      </c>
      <c r="L13" s="754">
        <f>Onboarding!L12*'Supuestos Generales'!$B$59*'Supuestos Generales'!$B$60</f>
        <v/>
      </c>
      <c r="M13" s="754">
        <f>Onboarding!M12*'Supuestos Generales'!$B$59*'Supuestos Generales'!$B$60</f>
        <v/>
      </c>
      <c r="N13" s="754">
        <f>Onboarding!N12*'Supuestos Generales'!$B$59*'Supuestos Generales'!$B$60</f>
        <v/>
      </c>
      <c r="O13" s="754">
        <f>Onboarding!O12*'Supuestos Generales'!$B$59*'Supuestos Generales'!$B$60</f>
        <v/>
      </c>
      <c r="P13" s="754">
        <f>Onboarding!P12*'Supuestos Generales'!$B$59*'Supuestos Generales'!$B$60</f>
        <v/>
      </c>
      <c r="Q13" s="754">
        <f>Onboarding!Q12*'Supuestos Generales'!$B$59*'Supuestos Generales'!$B$60</f>
        <v/>
      </c>
      <c r="R13" s="754">
        <f>Onboarding!R12*'Supuestos Generales'!$B$59*'Supuestos Generales'!$B$60</f>
        <v/>
      </c>
      <c r="S13" s="754">
        <f>Onboarding!S12*'Supuestos Generales'!$B$59*'Supuestos Generales'!$B$60</f>
        <v/>
      </c>
      <c r="T13" s="754">
        <f>Onboarding!T12*'Supuestos Generales'!$B$59*'Supuestos Generales'!$B$60</f>
        <v/>
      </c>
      <c r="U13" s="754">
        <f>Onboarding!U12*'Supuestos Generales'!$B$59*'Supuestos Generales'!$B$60</f>
        <v/>
      </c>
      <c r="V13" s="754">
        <f>Onboarding!V12*'Supuestos Generales'!$B$59*'Supuestos Generales'!$B$60</f>
        <v/>
      </c>
      <c r="W13" s="754">
        <f>Onboarding!W12*'Supuestos Generales'!$B$59*'Supuestos Generales'!$B$60</f>
        <v/>
      </c>
      <c r="X13" s="754">
        <f>Onboarding!X12*'Supuestos Generales'!$B$59*'Supuestos Generales'!$B$60</f>
        <v/>
      </c>
      <c r="Y13" s="754">
        <f>Onboarding!Y12*'Supuestos Generales'!$B$59*'Supuestos Generales'!$B$60</f>
        <v/>
      </c>
      <c r="Z13" s="754">
        <f>Onboarding!Z12*'Supuestos Generales'!$B$59*'Supuestos Generales'!$B$60</f>
        <v/>
      </c>
      <c r="AA13" s="754">
        <f>Onboarding!AA12*'Supuestos Generales'!$B$59*'Supuestos Generales'!$B$60</f>
        <v/>
      </c>
      <c r="AB13" s="754">
        <f>Onboarding!AB12*'Supuestos Generales'!$B$59*'Supuestos Generales'!$B$60</f>
        <v/>
      </c>
      <c r="AC13" s="754">
        <f>Onboarding!AC12*'Supuestos Generales'!$B$59*'Supuestos Generales'!$B$60</f>
        <v/>
      </c>
      <c r="AD13" s="754">
        <f>Onboarding!AD12*'Supuestos Generales'!$B$59*'Supuestos Generales'!$B$60</f>
        <v/>
      </c>
      <c r="AE13" s="754">
        <f>Onboarding!AE12*'Supuestos Generales'!$B$59*'Supuestos Generales'!$B$60</f>
        <v/>
      </c>
      <c r="AF13" s="754">
        <f>Onboarding!AF12*'Supuestos Generales'!$B$59*'Supuestos Generales'!$B$60</f>
        <v/>
      </c>
      <c r="AG13" s="754">
        <f>Onboarding!AG12*'Supuestos Generales'!$B$59*'Supuestos Generales'!$B$60</f>
        <v/>
      </c>
      <c r="AH13" s="754">
        <f>Onboarding!AH12*'Supuestos Generales'!$B$59*'Supuestos Generales'!$B$60</f>
        <v/>
      </c>
      <c r="AI13" s="754">
        <f>Onboarding!AI12*'Supuestos Generales'!$B$59*'Supuestos Generales'!$B$60</f>
        <v/>
      </c>
      <c r="AJ13" s="754">
        <f>Onboarding!AJ12*'Supuestos Generales'!$B$59*'Supuestos Generales'!$B$60</f>
        <v/>
      </c>
      <c r="AK13" s="754">
        <f>Onboarding!AK12*'Supuestos Generales'!$B$59*'Supuestos Generales'!$B$60</f>
        <v/>
      </c>
      <c r="AL13" s="754">
        <f>Onboarding!AL12*'Supuestos Generales'!$B$59*'Supuestos Generales'!$B$60</f>
        <v/>
      </c>
      <c r="AM13" s="754">
        <f>Onboarding!AM12*'Supuestos Generales'!$B$59*'Supuestos Generales'!$B$60</f>
        <v/>
      </c>
      <c r="AN13" s="754">
        <f>Onboarding!AN12*'Supuestos Generales'!$B$59*'Supuestos Generales'!$B$60</f>
        <v/>
      </c>
      <c r="AO13" s="754">
        <f>Onboarding!AO12*'Supuestos Generales'!$B$59*'Supuestos Generales'!$B$60</f>
        <v/>
      </c>
      <c r="AP13" s="754">
        <f>Onboarding!AP12*'Supuestos Generales'!$B$59*'Supuestos Generales'!$B$60</f>
        <v/>
      </c>
      <c r="AQ13" s="754">
        <f>Onboarding!AQ12*'Supuestos Generales'!$B$59*'Supuestos Generales'!$B$60</f>
        <v/>
      </c>
      <c r="AR13" s="754">
        <f>Onboarding!AR12*'Supuestos Generales'!$B$59*'Supuestos Generales'!$B$60</f>
        <v/>
      </c>
      <c r="AS13" s="754">
        <f>Onboarding!AS12*'Supuestos Generales'!$B$59*'Supuestos Generales'!$B$60</f>
        <v/>
      </c>
      <c r="AT13" s="754">
        <f>Onboarding!AT12*'Supuestos Generales'!$B$59*'Supuestos Generales'!$B$60</f>
        <v/>
      </c>
      <c r="AU13" s="754">
        <f>Onboarding!AU12*'Supuestos Generales'!$B$59*'Supuestos Generales'!$B$60</f>
        <v/>
      </c>
      <c r="AV13" s="754">
        <f>Onboarding!AV12*'Supuestos Generales'!$B$59*'Supuestos Generales'!$B$60</f>
        <v/>
      </c>
      <c r="AW13" s="754">
        <f>Onboarding!AW12*'Supuestos Generales'!$B$59*'Supuestos Generales'!$B$60</f>
        <v/>
      </c>
      <c r="AX13" s="754">
        <f>Onboarding!AX12*'Supuestos Generales'!$B$59*'Supuestos Generales'!$B$60</f>
        <v/>
      </c>
      <c r="AY13" s="754">
        <f>Onboarding!AY12*'Supuestos Generales'!$B$59*'Supuestos Generales'!$B$60</f>
        <v/>
      </c>
      <c r="AZ13" s="754">
        <f>Onboarding!AZ12*'Supuestos Generales'!$B$59*'Supuestos Generales'!$B$60</f>
        <v/>
      </c>
      <c r="BA13" s="754">
        <f>Onboarding!BA12*'Supuestos Generales'!$B$59*'Supuestos Generales'!$B$60</f>
        <v/>
      </c>
      <c r="BB13" s="754">
        <f>Onboarding!BB12*'Supuestos Generales'!$B$59*'Supuestos Generales'!$B$60</f>
        <v/>
      </c>
      <c r="BC13" s="754">
        <f>Onboarding!BC12*'Supuestos Generales'!$B$59*'Supuestos Generales'!$B$60</f>
        <v/>
      </c>
      <c r="BD13" s="754">
        <f>Onboarding!BD12*'Supuestos Generales'!$B$59*'Supuestos Generales'!$B$60</f>
        <v/>
      </c>
      <c r="BE13" s="754">
        <f>Onboarding!BE12*'Supuestos Generales'!$B$59*'Supuestos Generales'!$B$60</f>
        <v/>
      </c>
      <c r="BF13" s="754">
        <f>Onboarding!BF12*'Supuestos Generales'!$B$59*'Supuestos Generales'!$B$60</f>
        <v/>
      </c>
      <c r="BG13" s="754">
        <f>Onboarding!BG12*'Supuestos Generales'!$B$59*'Supuestos Generales'!$B$60</f>
        <v/>
      </c>
      <c r="BH13" s="754">
        <f>Onboarding!BH12*'Supuestos Generales'!$B$59*'Supuestos Generales'!$B$60</f>
        <v/>
      </c>
      <c r="BI13" s="754">
        <f>Onboarding!BI12*'Supuestos Generales'!$B$59*'Supuestos Generales'!$B$60</f>
        <v/>
      </c>
      <c r="BJ13" s="754">
        <f>SUM(B13:BI13)</f>
        <v/>
      </c>
    </row>
    <row r="14">
      <c r="A14" s="35" t="inlineStr">
        <is>
          <t>Super Monedas — Restaurantes (bruto)</t>
        </is>
      </c>
      <c r="B14" s="752">
        <f>Onboarding!B19*'Supuestos Generales'!$B$31</f>
        <v/>
      </c>
      <c r="C14" s="752">
        <f>Onboarding!C19*'Supuestos Generales'!$B$31</f>
        <v/>
      </c>
      <c r="D14" s="752">
        <f>Onboarding!D19*'Supuestos Generales'!$B$31</f>
        <v/>
      </c>
      <c r="E14" s="752">
        <f>Onboarding!E19*'Supuestos Generales'!$B$31</f>
        <v/>
      </c>
      <c r="F14" s="752">
        <f>Onboarding!F19*'Supuestos Generales'!$B$31</f>
        <v/>
      </c>
      <c r="G14" s="752">
        <f>Onboarding!G19*'Supuestos Generales'!$B$31</f>
        <v/>
      </c>
      <c r="H14" s="752">
        <f>Onboarding!H19*'Supuestos Generales'!$B$31</f>
        <v/>
      </c>
      <c r="I14" s="752">
        <f>Onboarding!I19*'Supuestos Generales'!$B$31</f>
        <v/>
      </c>
      <c r="J14" s="752">
        <f>Onboarding!J19*'Supuestos Generales'!$B$31</f>
        <v/>
      </c>
      <c r="K14" s="752">
        <f>Onboarding!K19*'Supuestos Generales'!$B$31</f>
        <v/>
      </c>
      <c r="L14" s="752">
        <f>Onboarding!L19*'Supuestos Generales'!$B$31</f>
        <v/>
      </c>
      <c r="M14" s="752">
        <f>Onboarding!M19*'Supuestos Generales'!$B$31</f>
        <v/>
      </c>
      <c r="N14" s="752">
        <f>Onboarding!N19*'Supuestos Generales'!$B$31</f>
        <v/>
      </c>
      <c r="O14" s="752">
        <f>Onboarding!O19*'Supuestos Generales'!$B$31</f>
        <v/>
      </c>
      <c r="P14" s="752">
        <f>Onboarding!P19*'Supuestos Generales'!$B$31</f>
        <v/>
      </c>
      <c r="Q14" s="752">
        <f>Onboarding!Q19*'Supuestos Generales'!$B$31</f>
        <v/>
      </c>
      <c r="R14" s="752">
        <f>Onboarding!R19*'Supuestos Generales'!$B$31</f>
        <v/>
      </c>
      <c r="S14" s="752">
        <f>Onboarding!S19*'Supuestos Generales'!$B$31</f>
        <v/>
      </c>
      <c r="T14" s="752">
        <f>Onboarding!T19*'Supuestos Generales'!$B$31</f>
        <v/>
      </c>
      <c r="U14" s="752">
        <f>Onboarding!U19*'Supuestos Generales'!$B$31</f>
        <v/>
      </c>
      <c r="V14" s="752">
        <f>Onboarding!V19*'Supuestos Generales'!$B$31</f>
        <v/>
      </c>
      <c r="W14" s="752">
        <f>Onboarding!W19*'Supuestos Generales'!$B$31</f>
        <v/>
      </c>
      <c r="X14" s="752">
        <f>Onboarding!X19*'Supuestos Generales'!$B$31</f>
        <v/>
      </c>
      <c r="Y14" s="752">
        <f>Onboarding!Y19*'Supuestos Generales'!$B$31</f>
        <v/>
      </c>
      <c r="Z14" s="752">
        <f>Onboarding!Z19*'Supuestos Generales'!$B$31</f>
        <v/>
      </c>
      <c r="AA14" s="752">
        <f>Onboarding!AA19*'Supuestos Generales'!$B$31</f>
        <v/>
      </c>
      <c r="AB14" s="752">
        <f>Onboarding!AB19*'Supuestos Generales'!$B$31</f>
        <v/>
      </c>
      <c r="AC14" s="752">
        <f>Onboarding!AC19*'Supuestos Generales'!$B$31</f>
        <v/>
      </c>
      <c r="AD14" s="752">
        <f>Onboarding!AD19*'Supuestos Generales'!$B$31</f>
        <v/>
      </c>
      <c r="AE14" s="752">
        <f>Onboarding!AE19*'Supuestos Generales'!$B$31</f>
        <v/>
      </c>
      <c r="AF14" s="752">
        <f>Onboarding!AF19*'Supuestos Generales'!$B$31</f>
        <v/>
      </c>
      <c r="AG14" s="752">
        <f>Onboarding!AG19*'Supuestos Generales'!$B$31</f>
        <v/>
      </c>
      <c r="AH14" s="752">
        <f>Onboarding!AH19*'Supuestos Generales'!$B$31</f>
        <v/>
      </c>
      <c r="AI14" s="752">
        <f>Onboarding!AI19*'Supuestos Generales'!$B$31</f>
        <v/>
      </c>
      <c r="AJ14" s="752">
        <f>Onboarding!AJ19*'Supuestos Generales'!$B$31</f>
        <v/>
      </c>
      <c r="AK14" s="752">
        <f>Onboarding!AK19*'Supuestos Generales'!$B$31</f>
        <v/>
      </c>
      <c r="AL14" s="752">
        <f>Onboarding!AL19*'Supuestos Generales'!$B$31</f>
        <v/>
      </c>
      <c r="AM14" s="752">
        <f>Onboarding!AM19*'Supuestos Generales'!$B$31</f>
        <v/>
      </c>
      <c r="AN14" s="752">
        <f>Onboarding!AN19*'Supuestos Generales'!$B$31</f>
        <v/>
      </c>
      <c r="AO14" s="752">
        <f>Onboarding!AO19*'Supuestos Generales'!$B$31</f>
        <v/>
      </c>
      <c r="AP14" s="752">
        <f>Onboarding!AP19*'Supuestos Generales'!$B$31</f>
        <v/>
      </c>
      <c r="AQ14" s="752">
        <f>Onboarding!AQ19*'Supuestos Generales'!$B$31</f>
        <v/>
      </c>
      <c r="AR14" s="752">
        <f>Onboarding!AR19*'Supuestos Generales'!$B$31</f>
        <v/>
      </c>
      <c r="AS14" s="752">
        <f>Onboarding!AS19*'Supuestos Generales'!$B$31</f>
        <v/>
      </c>
      <c r="AT14" s="752">
        <f>Onboarding!AT19*'Supuestos Generales'!$B$31</f>
        <v/>
      </c>
      <c r="AU14" s="752">
        <f>Onboarding!AU19*'Supuestos Generales'!$B$31</f>
        <v/>
      </c>
      <c r="AV14" s="752">
        <f>Onboarding!AV19*'Supuestos Generales'!$B$31</f>
        <v/>
      </c>
      <c r="AW14" s="752">
        <f>Onboarding!AW19*'Supuestos Generales'!$B$31</f>
        <v/>
      </c>
      <c r="AX14" s="752">
        <f>Onboarding!AX19*'Supuestos Generales'!$B$31</f>
        <v/>
      </c>
      <c r="AY14" s="752">
        <f>Onboarding!AY19*'Supuestos Generales'!$B$31</f>
        <v/>
      </c>
      <c r="AZ14" s="752">
        <f>Onboarding!AZ19*'Supuestos Generales'!$B$31</f>
        <v/>
      </c>
      <c r="BA14" s="752">
        <f>Onboarding!BA19*'Supuestos Generales'!$B$31</f>
        <v/>
      </c>
      <c r="BB14" s="752">
        <f>Onboarding!BB19*'Supuestos Generales'!$B$31</f>
        <v/>
      </c>
      <c r="BC14" s="752">
        <f>Onboarding!BC19*'Supuestos Generales'!$B$31</f>
        <v/>
      </c>
      <c r="BD14" s="752">
        <f>Onboarding!BD19*'Supuestos Generales'!$B$31</f>
        <v/>
      </c>
      <c r="BE14" s="752">
        <f>Onboarding!BE19*'Supuestos Generales'!$B$31</f>
        <v/>
      </c>
      <c r="BF14" s="752">
        <f>Onboarding!BF19*'Supuestos Generales'!$B$31</f>
        <v/>
      </c>
      <c r="BG14" s="752">
        <f>Onboarding!BG19*'Supuestos Generales'!$B$31</f>
        <v/>
      </c>
      <c r="BH14" s="752">
        <f>Onboarding!BH19*'Supuestos Generales'!$B$31</f>
        <v/>
      </c>
      <c r="BI14" s="752">
        <f>Onboarding!BI19*'Supuestos Generales'!$B$31</f>
        <v/>
      </c>
      <c r="BJ14" s="753">
        <f>SUM(B14:BI14)</f>
        <v/>
      </c>
    </row>
    <row r="15">
      <c r="A15" s="35" t="inlineStr">
        <is>
          <t>Super Monedas — Marcas (bruto)</t>
        </is>
      </c>
      <c r="B15" s="752">
        <f>Onboarding!B19*Onboarding!B22*'Supuestos Generales'!$B$32</f>
        <v/>
      </c>
      <c r="C15" s="752">
        <f>Onboarding!C19*Onboarding!C22*'Supuestos Generales'!$B$32</f>
        <v/>
      </c>
      <c r="D15" s="752">
        <f>Onboarding!D19*Onboarding!D22*'Supuestos Generales'!$B$32</f>
        <v/>
      </c>
      <c r="E15" s="752">
        <f>Onboarding!E19*Onboarding!E22*'Supuestos Generales'!$B$32</f>
        <v/>
      </c>
      <c r="F15" s="752">
        <f>Onboarding!F19*Onboarding!F22*'Supuestos Generales'!$B$32</f>
        <v/>
      </c>
      <c r="G15" s="752">
        <f>Onboarding!G19*Onboarding!G22*'Supuestos Generales'!$B$32</f>
        <v/>
      </c>
      <c r="H15" s="752">
        <f>Onboarding!H19*Onboarding!H22*'Supuestos Generales'!$B$32</f>
        <v/>
      </c>
      <c r="I15" s="752">
        <f>Onboarding!I19*Onboarding!I22*'Supuestos Generales'!$B$32</f>
        <v/>
      </c>
      <c r="J15" s="752">
        <f>Onboarding!J19*Onboarding!J22*'Supuestos Generales'!$B$32</f>
        <v/>
      </c>
      <c r="K15" s="752">
        <f>Onboarding!K19*Onboarding!K22*'Supuestos Generales'!$B$32</f>
        <v/>
      </c>
      <c r="L15" s="752">
        <f>Onboarding!L19*Onboarding!L22*'Supuestos Generales'!$B$32</f>
        <v/>
      </c>
      <c r="M15" s="752">
        <f>Onboarding!M19*Onboarding!M22*'Supuestos Generales'!$B$32</f>
        <v/>
      </c>
      <c r="N15" s="752">
        <f>Onboarding!N19*Onboarding!N22*'Supuestos Generales'!$B$32</f>
        <v/>
      </c>
      <c r="O15" s="752">
        <f>Onboarding!O19*Onboarding!O22*'Supuestos Generales'!$B$32</f>
        <v/>
      </c>
      <c r="P15" s="752">
        <f>Onboarding!P19*Onboarding!P22*'Supuestos Generales'!$B$32</f>
        <v/>
      </c>
      <c r="Q15" s="752">
        <f>Onboarding!Q19*Onboarding!Q22*'Supuestos Generales'!$B$32</f>
        <v/>
      </c>
      <c r="R15" s="752">
        <f>Onboarding!R19*Onboarding!R22*'Supuestos Generales'!$B$32</f>
        <v/>
      </c>
      <c r="S15" s="752">
        <f>Onboarding!S19*Onboarding!S22*'Supuestos Generales'!$B$32</f>
        <v/>
      </c>
      <c r="T15" s="752">
        <f>Onboarding!T19*Onboarding!T22*'Supuestos Generales'!$B$32</f>
        <v/>
      </c>
      <c r="U15" s="752">
        <f>Onboarding!U19*Onboarding!U22*'Supuestos Generales'!$B$32</f>
        <v/>
      </c>
      <c r="V15" s="752">
        <f>Onboarding!V19*Onboarding!V22*'Supuestos Generales'!$B$32</f>
        <v/>
      </c>
      <c r="W15" s="752">
        <f>Onboarding!W19*Onboarding!W22*'Supuestos Generales'!$B$32</f>
        <v/>
      </c>
      <c r="X15" s="752">
        <f>Onboarding!X19*Onboarding!X22*'Supuestos Generales'!$B$32</f>
        <v/>
      </c>
      <c r="Y15" s="752">
        <f>Onboarding!Y19*Onboarding!Y22*'Supuestos Generales'!$B$32</f>
        <v/>
      </c>
      <c r="Z15" s="752">
        <f>Onboarding!Z19*Onboarding!Z22*'Supuestos Generales'!$B$32</f>
        <v/>
      </c>
      <c r="AA15" s="752">
        <f>Onboarding!AA19*Onboarding!AA22*'Supuestos Generales'!$B$32</f>
        <v/>
      </c>
      <c r="AB15" s="752">
        <f>Onboarding!AB19*Onboarding!AB22*'Supuestos Generales'!$B$32</f>
        <v/>
      </c>
      <c r="AC15" s="752">
        <f>Onboarding!AC19*Onboarding!AC22*'Supuestos Generales'!$B$32</f>
        <v/>
      </c>
      <c r="AD15" s="752">
        <f>Onboarding!AD19*Onboarding!AD22*'Supuestos Generales'!$B$32</f>
        <v/>
      </c>
      <c r="AE15" s="752">
        <f>Onboarding!AE19*Onboarding!AE22*'Supuestos Generales'!$B$32</f>
        <v/>
      </c>
      <c r="AF15" s="752">
        <f>Onboarding!AF19*Onboarding!AF22*'Supuestos Generales'!$B$32</f>
        <v/>
      </c>
      <c r="AG15" s="752">
        <f>Onboarding!AG19*Onboarding!AG22*'Supuestos Generales'!$B$32</f>
        <v/>
      </c>
      <c r="AH15" s="752">
        <f>Onboarding!AH19*Onboarding!AH22*'Supuestos Generales'!$B$32</f>
        <v/>
      </c>
      <c r="AI15" s="752">
        <f>Onboarding!AI19*Onboarding!AI22*'Supuestos Generales'!$B$32</f>
        <v/>
      </c>
      <c r="AJ15" s="752">
        <f>Onboarding!AJ19*Onboarding!AJ22*'Supuestos Generales'!$B$32</f>
        <v/>
      </c>
      <c r="AK15" s="752">
        <f>Onboarding!AK19*Onboarding!AK22*'Supuestos Generales'!$B$32</f>
        <v/>
      </c>
      <c r="AL15" s="752">
        <f>Onboarding!AL19*Onboarding!AL22*'Supuestos Generales'!$B$32</f>
        <v/>
      </c>
      <c r="AM15" s="752">
        <f>Onboarding!AM19*Onboarding!AM22*'Supuestos Generales'!$B$32</f>
        <v/>
      </c>
      <c r="AN15" s="752">
        <f>Onboarding!AN19*Onboarding!AN22*'Supuestos Generales'!$B$32</f>
        <v/>
      </c>
      <c r="AO15" s="752">
        <f>Onboarding!AO19*Onboarding!AO22*'Supuestos Generales'!$B$32</f>
        <v/>
      </c>
      <c r="AP15" s="752">
        <f>Onboarding!AP19*Onboarding!AP22*'Supuestos Generales'!$B$32</f>
        <v/>
      </c>
      <c r="AQ15" s="752">
        <f>Onboarding!AQ19*Onboarding!AQ22*'Supuestos Generales'!$B$32</f>
        <v/>
      </c>
      <c r="AR15" s="752">
        <f>Onboarding!AR19*Onboarding!AR22*'Supuestos Generales'!$B$32</f>
        <v/>
      </c>
      <c r="AS15" s="752">
        <f>Onboarding!AS19*Onboarding!AS22*'Supuestos Generales'!$B$32</f>
        <v/>
      </c>
      <c r="AT15" s="752">
        <f>Onboarding!AT19*Onboarding!AT22*'Supuestos Generales'!$B$32</f>
        <v/>
      </c>
      <c r="AU15" s="752">
        <f>Onboarding!AU19*Onboarding!AU22*'Supuestos Generales'!$B$32</f>
        <v/>
      </c>
      <c r="AV15" s="752">
        <f>Onboarding!AV19*Onboarding!AV22*'Supuestos Generales'!$B$32</f>
        <v/>
      </c>
      <c r="AW15" s="752">
        <f>Onboarding!AW19*Onboarding!AW22*'Supuestos Generales'!$B$32</f>
        <v/>
      </c>
      <c r="AX15" s="752">
        <f>Onboarding!AX19*Onboarding!AX22*'Supuestos Generales'!$B$32</f>
        <v/>
      </c>
      <c r="AY15" s="752">
        <f>Onboarding!AY19*Onboarding!AY22*'Supuestos Generales'!$B$32</f>
        <v/>
      </c>
      <c r="AZ15" s="752">
        <f>Onboarding!AZ19*Onboarding!AZ22*'Supuestos Generales'!$B$32</f>
        <v/>
      </c>
      <c r="BA15" s="752">
        <f>Onboarding!BA19*Onboarding!BA22*'Supuestos Generales'!$B$32</f>
        <v/>
      </c>
      <c r="BB15" s="752">
        <f>Onboarding!BB19*Onboarding!BB22*'Supuestos Generales'!$B$32</f>
        <v/>
      </c>
      <c r="BC15" s="752">
        <f>Onboarding!BC19*Onboarding!BC22*'Supuestos Generales'!$B$32</f>
        <v/>
      </c>
      <c r="BD15" s="752">
        <f>Onboarding!BD19*Onboarding!BD22*'Supuestos Generales'!$B$32</f>
        <v/>
      </c>
      <c r="BE15" s="752">
        <f>Onboarding!BE19*Onboarding!BE22*'Supuestos Generales'!$B$32</f>
        <v/>
      </c>
      <c r="BF15" s="752">
        <f>Onboarding!BF19*Onboarding!BF22*'Supuestos Generales'!$B$32</f>
        <v/>
      </c>
      <c r="BG15" s="752">
        <f>Onboarding!BG19*Onboarding!BG22*'Supuestos Generales'!$B$32</f>
        <v/>
      </c>
      <c r="BH15" s="752">
        <f>Onboarding!BH19*Onboarding!BH22*'Supuestos Generales'!$B$32</f>
        <v/>
      </c>
      <c r="BI15" s="752">
        <f>Onboarding!BI19*Onboarding!BI22*'Supuestos Generales'!$B$32</f>
        <v/>
      </c>
      <c r="BJ15" s="753">
        <f>SUM(B15:BI15)</f>
        <v/>
      </c>
    </row>
    <row r="16">
      <c r="A16" s="25" t="inlineStr">
        <is>
          <t>Total Super Monedas (bruto)</t>
        </is>
      </c>
      <c r="B16" s="753">
        <f>B14+B15</f>
        <v/>
      </c>
      <c r="C16" s="753">
        <f>C14+C15</f>
        <v/>
      </c>
      <c r="D16" s="753">
        <f>D14+D15</f>
        <v/>
      </c>
      <c r="E16" s="753">
        <f>E14+E15</f>
        <v/>
      </c>
      <c r="F16" s="753">
        <f>F14+F15</f>
        <v/>
      </c>
      <c r="G16" s="753">
        <f>G14+G15</f>
        <v/>
      </c>
      <c r="H16" s="753">
        <f>H14+H15</f>
        <v/>
      </c>
      <c r="I16" s="753">
        <f>I14+I15</f>
        <v/>
      </c>
      <c r="J16" s="753">
        <f>J14+J15</f>
        <v/>
      </c>
      <c r="K16" s="753">
        <f>K14+K15</f>
        <v/>
      </c>
      <c r="L16" s="753">
        <f>L14+L15</f>
        <v/>
      </c>
      <c r="M16" s="753">
        <f>M14+M15</f>
        <v/>
      </c>
      <c r="N16" s="753">
        <f>N14+N15</f>
        <v/>
      </c>
      <c r="O16" s="753">
        <f>O14+O15</f>
        <v/>
      </c>
      <c r="P16" s="753">
        <f>P14+P15</f>
        <v/>
      </c>
      <c r="Q16" s="753">
        <f>Q14+Q15</f>
        <v/>
      </c>
      <c r="R16" s="753">
        <f>R14+R15</f>
        <v/>
      </c>
      <c r="S16" s="753">
        <f>S14+S15</f>
        <v/>
      </c>
      <c r="T16" s="753">
        <f>T14+T15</f>
        <v/>
      </c>
      <c r="U16" s="753">
        <f>U14+U15</f>
        <v/>
      </c>
      <c r="V16" s="753">
        <f>V14+V15</f>
        <v/>
      </c>
      <c r="W16" s="753">
        <f>W14+W15</f>
        <v/>
      </c>
      <c r="X16" s="753">
        <f>X14+X15</f>
        <v/>
      </c>
      <c r="Y16" s="753">
        <f>Y14+Y15</f>
        <v/>
      </c>
      <c r="Z16" s="753">
        <f>Z14+Z15</f>
        <v/>
      </c>
      <c r="AA16" s="753">
        <f>AA14+AA15</f>
        <v/>
      </c>
      <c r="AB16" s="753">
        <f>AB14+AB15</f>
        <v/>
      </c>
      <c r="AC16" s="753">
        <f>AC14+AC15</f>
        <v/>
      </c>
      <c r="AD16" s="753">
        <f>AD14+AD15</f>
        <v/>
      </c>
      <c r="AE16" s="753">
        <f>AE14+AE15</f>
        <v/>
      </c>
      <c r="AF16" s="753">
        <f>AF14+AF15</f>
        <v/>
      </c>
      <c r="AG16" s="753">
        <f>AG14+AG15</f>
        <v/>
      </c>
      <c r="AH16" s="753">
        <f>AH14+AH15</f>
        <v/>
      </c>
      <c r="AI16" s="753">
        <f>AI14+AI15</f>
        <v/>
      </c>
      <c r="AJ16" s="753">
        <f>AJ14+AJ15</f>
        <v/>
      </c>
      <c r="AK16" s="753">
        <f>AK14+AK15</f>
        <v/>
      </c>
      <c r="AL16" s="753">
        <f>AL14+AL15</f>
        <v/>
      </c>
      <c r="AM16" s="753">
        <f>AM14+AM15</f>
        <v/>
      </c>
      <c r="AN16" s="753">
        <f>AN14+AN15</f>
        <v/>
      </c>
      <c r="AO16" s="753">
        <f>AO14+AO15</f>
        <v/>
      </c>
      <c r="AP16" s="753">
        <f>AP14+AP15</f>
        <v/>
      </c>
      <c r="AQ16" s="753">
        <f>AQ14+AQ15</f>
        <v/>
      </c>
      <c r="AR16" s="753">
        <f>AR14+AR15</f>
        <v/>
      </c>
      <c r="AS16" s="753">
        <f>AS14+AS15</f>
        <v/>
      </c>
      <c r="AT16" s="753">
        <f>AT14+AT15</f>
        <v/>
      </c>
      <c r="AU16" s="753">
        <f>AU14+AU15</f>
        <v/>
      </c>
      <c r="AV16" s="753">
        <f>AV14+AV15</f>
        <v/>
      </c>
      <c r="AW16" s="753">
        <f>AW14+AW15</f>
        <v/>
      </c>
      <c r="AX16" s="753">
        <f>AX14+AX15</f>
        <v/>
      </c>
      <c r="AY16" s="753">
        <f>AY14+AY15</f>
        <v/>
      </c>
      <c r="AZ16" s="753">
        <f>AZ14+AZ15</f>
        <v/>
      </c>
      <c r="BA16" s="753">
        <f>BA14+BA15</f>
        <v/>
      </c>
      <c r="BB16" s="753">
        <f>BB14+BB15</f>
        <v/>
      </c>
      <c r="BC16" s="753">
        <f>BC14+BC15</f>
        <v/>
      </c>
      <c r="BD16" s="753">
        <f>BD14+BD15</f>
        <v/>
      </c>
      <c r="BE16" s="753">
        <f>BE14+BE15</f>
        <v/>
      </c>
      <c r="BF16" s="753">
        <f>BF14+BF15</f>
        <v/>
      </c>
      <c r="BG16" s="753">
        <f>BG14+BG15</f>
        <v/>
      </c>
      <c r="BH16" s="753">
        <f>BH14+BH15</f>
        <v/>
      </c>
      <c r="BI16" s="753">
        <f>BI14+BI15</f>
        <v/>
      </c>
      <c r="BJ16" s="753">
        <f>SUM(B16:BI16)</f>
        <v/>
      </c>
    </row>
    <row r="17">
      <c r="A17" s="25" t="inlineStr">
        <is>
          <t>Total Ingresos Recurrentes</t>
        </is>
      </c>
      <c r="B17" s="753">
        <f>B11+B12+B13+B16</f>
        <v/>
      </c>
      <c r="C17" s="753">
        <f>C11+C12+C13+C16</f>
        <v/>
      </c>
      <c r="D17" s="753">
        <f>D11+D12+D13+D16</f>
        <v/>
      </c>
      <c r="E17" s="753">
        <f>E11+E12+E13+E16</f>
        <v/>
      </c>
      <c r="F17" s="753">
        <f>F11+F12+F13+F16</f>
        <v/>
      </c>
      <c r="G17" s="753">
        <f>G11+G12+G13+G16</f>
        <v/>
      </c>
      <c r="H17" s="753">
        <f>H11+H12+H13+H16</f>
        <v/>
      </c>
      <c r="I17" s="753">
        <f>I11+I12+I13+I16</f>
        <v/>
      </c>
      <c r="J17" s="753">
        <f>J11+J12+J13+J16</f>
        <v/>
      </c>
      <c r="K17" s="753">
        <f>K11+K12+K13+K16</f>
        <v/>
      </c>
      <c r="L17" s="753">
        <f>L11+L12+L13+L16</f>
        <v/>
      </c>
      <c r="M17" s="753">
        <f>M11+M12+M13+M16</f>
        <v/>
      </c>
      <c r="N17" s="753">
        <f>N11+N12+N13+N16</f>
        <v/>
      </c>
      <c r="O17" s="753">
        <f>O11+O12+O13+O16</f>
        <v/>
      </c>
      <c r="P17" s="753">
        <f>P11+P12+P13+P16</f>
        <v/>
      </c>
      <c r="Q17" s="753">
        <f>Q11+Q12+Q13+Q16</f>
        <v/>
      </c>
      <c r="R17" s="753">
        <f>R11+R12+R13+R16</f>
        <v/>
      </c>
      <c r="S17" s="753">
        <f>S11+S12+S13+S16</f>
        <v/>
      </c>
      <c r="T17" s="753">
        <f>T11+T12+T13+T16</f>
        <v/>
      </c>
      <c r="U17" s="753">
        <f>U11+U12+U13+U16</f>
        <v/>
      </c>
      <c r="V17" s="753">
        <f>V11+V12+V13+V16</f>
        <v/>
      </c>
      <c r="W17" s="753">
        <f>W11+W12+W13+W16</f>
        <v/>
      </c>
      <c r="X17" s="753">
        <f>X11+X12+X13+X16</f>
        <v/>
      </c>
      <c r="Y17" s="753">
        <f>Y11+Y12+Y13+Y16</f>
        <v/>
      </c>
      <c r="Z17" s="753">
        <f>Z11+Z12+Z13+Z16</f>
        <v/>
      </c>
      <c r="AA17" s="753">
        <f>AA11+AA12+AA13+AA16</f>
        <v/>
      </c>
      <c r="AB17" s="753">
        <f>AB11+AB12+AB13+AB16</f>
        <v/>
      </c>
      <c r="AC17" s="753">
        <f>AC11+AC12+AC13+AC16</f>
        <v/>
      </c>
      <c r="AD17" s="753">
        <f>AD11+AD12+AD13+AD16</f>
        <v/>
      </c>
      <c r="AE17" s="753">
        <f>AE11+AE12+AE13+AE16</f>
        <v/>
      </c>
      <c r="AF17" s="753">
        <f>AF11+AF12+AF13+AF16</f>
        <v/>
      </c>
      <c r="AG17" s="753">
        <f>AG11+AG12+AG13+AG16</f>
        <v/>
      </c>
      <c r="AH17" s="753">
        <f>AH11+AH12+AH13+AH16</f>
        <v/>
      </c>
      <c r="AI17" s="753">
        <f>AI11+AI12+AI13+AI16</f>
        <v/>
      </c>
      <c r="AJ17" s="753">
        <f>AJ11+AJ12+AJ13+AJ16</f>
        <v/>
      </c>
      <c r="AK17" s="753">
        <f>AK11+AK12+AK13+AK16</f>
        <v/>
      </c>
      <c r="AL17" s="753">
        <f>AL11+AL12+AL13+AL16</f>
        <v/>
      </c>
      <c r="AM17" s="753">
        <f>AM11+AM12+AM13+AM16</f>
        <v/>
      </c>
      <c r="AN17" s="753">
        <f>AN11+AN12+AN13+AN16</f>
        <v/>
      </c>
      <c r="AO17" s="753">
        <f>AO11+AO12+AO13+AO16</f>
        <v/>
      </c>
      <c r="AP17" s="753">
        <f>AP11+AP12+AP13+AP16</f>
        <v/>
      </c>
      <c r="AQ17" s="753">
        <f>AQ11+AQ12+AQ13+AQ16</f>
        <v/>
      </c>
      <c r="AR17" s="753">
        <f>AR11+AR12+AR13+AR16</f>
        <v/>
      </c>
      <c r="AS17" s="753">
        <f>AS11+AS12+AS13+AS16</f>
        <v/>
      </c>
      <c r="AT17" s="753">
        <f>AT11+AT12+AT13+AT16</f>
        <v/>
      </c>
      <c r="AU17" s="753">
        <f>AU11+AU12+AU13+AU16</f>
        <v/>
      </c>
      <c r="AV17" s="753">
        <f>AV11+AV12+AV13+AV16</f>
        <v/>
      </c>
      <c r="AW17" s="753">
        <f>AW11+AW12+AW13+AW16</f>
        <v/>
      </c>
      <c r="AX17" s="753">
        <f>AX11+AX12+AX13+AX16</f>
        <v/>
      </c>
      <c r="AY17" s="753">
        <f>AY11+AY12+AY13+AY16</f>
        <v/>
      </c>
      <c r="AZ17" s="753">
        <f>AZ11+AZ12+AZ13+AZ16</f>
        <v/>
      </c>
      <c r="BA17" s="753">
        <f>BA11+BA12+BA13+BA16</f>
        <v/>
      </c>
      <c r="BB17" s="753">
        <f>BB11+BB12+BB13+BB16</f>
        <v/>
      </c>
      <c r="BC17" s="753">
        <f>BC11+BC12+BC13+BC16</f>
        <v/>
      </c>
      <c r="BD17" s="753">
        <f>BD11+BD12+BD13+BD16</f>
        <v/>
      </c>
      <c r="BE17" s="753">
        <f>BE11+BE12+BE13+BE16</f>
        <v/>
      </c>
      <c r="BF17" s="753">
        <f>BF11+BF12+BF13+BF16</f>
        <v/>
      </c>
      <c r="BG17" s="753">
        <f>BG11+BG12+BG13+BG16</f>
        <v/>
      </c>
      <c r="BH17" s="753">
        <f>BH11+BH12+BH13+BH16</f>
        <v/>
      </c>
      <c r="BI17" s="753">
        <f>BI11+BI12+BI13+BI16</f>
        <v/>
      </c>
      <c r="BJ17" s="753">
        <f>BJ11+BJ12+BJ13+BJ16</f>
        <v/>
      </c>
    </row>
    <row r="19">
      <c r="A19" s="43" t="inlineStr">
        <is>
          <t>TOTAL INGRESOS</t>
        </is>
      </c>
      <c r="B19" s="755">
        <f>B8+B17</f>
        <v/>
      </c>
      <c r="C19" s="755">
        <f>C8+C17</f>
        <v/>
      </c>
      <c r="D19" s="755">
        <f>D8+D17</f>
        <v/>
      </c>
      <c r="E19" s="755">
        <f>E8+E17</f>
        <v/>
      </c>
      <c r="F19" s="755">
        <f>F8+F17</f>
        <v/>
      </c>
      <c r="G19" s="755">
        <f>G8+G17</f>
        <v/>
      </c>
      <c r="H19" s="755">
        <f>H8+H17</f>
        <v/>
      </c>
      <c r="I19" s="755">
        <f>I8+I17</f>
        <v/>
      </c>
      <c r="J19" s="755">
        <f>J8+J17</f>
        <v/>
      </c>
      <c r="K19" s="755">
        <f>K8+K17</f>
        <v/>
      </c>
      <c r="L19" s="755">
        <f>L8+L17</f>
        <v/>
      </c>
      <c r="M19" s="755">
        <f>M8+M17</f>
        <v/>
      </c>
      <c r="N19" s="755">
        <f>N8+N17</f>
        <v/>
      </c>
      <c r="O19" s="755">
        <f>O8+O17</f>
        <v/>
      </c>
      <c r="P19" s="755">
        <f>P8+P17</f>
        <v/>
      </c>
      <c r="Q19" s="755">
        <f>Q8+Q17</f>
        <v/>
      </c>
      <c r="R19" s="755">
        <f>R8+R17</f>
        <v/>
      </c>
      <c r="S19" s="755">
        <f>S8+S17</f>
        <v/>
      </c>
      <c r="T19" s="755">
        <f>T8+T17</f>
        <v/>
      </c>
      <c r="U19" s="755">
        <f>U8+U17</f>
        <v/>
      </c>
      <c r="V19" s="755">
        <f>V8+V17</f>
        <v/>
      </c>
      <c r="W19" s="755">
        <f>W8+W17</f>
        <v/>
      </c>
      <c r="X19" s="755">
        <f>X8+X17</f>
        <v/>
      </c>
      <c r="Y19" s="755">
        <f>Y8+Y17</f>
        <v/>
      </c>
      <c r="Z19" s="755">
        <f>Z8+Z17</f>
        <v/>
      </c>
      <c r="AA19" s="755">
        <f>AA8+AA17</f>
        <v/>
      </c>
      <c r="AB19" s="755">
        <f>AB8+AB17</f>
        <v/>
      </c>
      <c r="AC19" s="755">
        <f>AC8+AC17</f>
        <v/>
      </c>
      <c r="AD19" s="755">
        <f>AD8+AD17</f>
        <v/>
      </c>
      <c r="AE19" s="755">
        <f>AE8+AE17</f>
        <v/>
      </c>
      <c r="AF19" s="755">
        <f>AF8+AF17</f>
        <v/>
      </c>
      <c r="AG19" s="755">
        <f>AG8+AG17</f>
        <v/>
      </c>
      <c r="AH19" s="755">
        <f>AH8+AH17</f>
        <v/>
      </c>
      <c r="AI19" s="755">
        <f>AI8+AI17</f>
        <v/>
      </c>
      <c r="AJ19" s="755">
        <f>AJ8+AJ17</f>
        <v/>
      </c>
      <c r="AK19" s="755">
        <f>AK8+AK17</f>
        <v/>
      </c>
      <c r="AL19" s="755">
        <f>AL8+AL17</f>
        <v/>
      </c>
      <c r="AM19" s="755">
        <f>AM8+AM17</f>
        <v/>
      </c>
      <c r="AN19" s="755">
        <f>AN8+AN17</f>
        <v/>
      </c>
      <c r="AO19" s="755">
        <f>AO8+AO17</f>
        <v/>
      </c>
      <c r="AP19" s="755">
        <f>AP8+AP17</f>
        <v/>
      </c>
      <c r="AQ19" s="755">
        <f>AQ8+AQ17</f>
        <v/>
      </c>
      <c r="AR19" s="755">
        <f>AR8+AR17</f>
        <v/>
      </c>
      <c r="AS19" s="755">
        <f>AS8+AS17</f>
        <v/>
      </c>
      <c r="AT19" s="755">
        <f>AT8+AT17</f>
        <v/>
      </c>
      <c r="AU19" s="755">
        <f>AU8+AU17</f>
        <v/>
      </c>
      <c r="AV19" s="755">
        <f>AV8+AV17</f>
        <v/>
      </c>
      <c r="AW19" s="755">
        <f>AW8+AW17</f>
        <v/>
      </c>
      <c r="AX19" s="755">
        <f>AX8+AX17</f>
        <v/>
      </c>
      <c r="AY19" s="755">
        <f>AY8+AY17</f>
        <v/>
      </c>
      <c r="AZ19" s="755">
        <f>AZ8+AZ17</f>
        <v/>
      </c>
      <c r="BA19" s="755">
        <f>BA8+BA17</f>
        <v/>
      </c>
      <c r="BB19" s="755">
        <f>BB8+BB17</f>
        <v/>
      </c>
      <c r="BC19" s="755">
        <f>BC8+BC17</f>
        <v/>
      </c>
      <c r="BD19" s="755">
        <f>BD8+BD17</f>
        <v/>
      </c>
      <c r="BE19" s="755">
        <f>BE8+BE17</f>
        <v/>
      </c>
      <c r="BF19" s="755">
        <f>BF8+BF17</f>
        <v/>
      </c>
      <c r="BG19" s="755">
        <f>BG8+BG17</f>
        <v/>
      </c>
      <c r="BH19" s="755">
        <f>BH8+BH17</f>
        <v/>
      </c>
      <c r="BI19" s="755">
        <f>BI8+BI17</f>
        <v/>
      </c>
      <c r="BJ19" s="755">
        <f>SUM(B19:BI19)</f>
        <v/>
      </c>
    </row>
    <row r="20">
      <c r="A20" s="25" t="inlineStr">
        <is>
          <t>Ingresos Acumulados</t>
        </is>
      </c>
      <c r="B20" s="756">
        <f>B19</f>
        <v/>
      </c>
      <c r="C20" s="756">
        <f>B20+C19</f>
        <v/>
      </c>
      <c r="D20" s="756">
        <f>C20+D19</f>
        <v/>
      </c>
      <c r="E20" s="756">
        <f>D20+E19</f>
        <v/>
      </c>
      <c r="F20" s="756">
        <f>E20+F19</f>
        <v/>
      </c>
      <c r="G20" s="756">
        <f>F20+G19</f>
        <v/>
      </c>
      <c r="H20" s="756">
        <f>G20+H19</f>
        <v/>
      </c>
      <c r="I20" s="756">
        <f>H20+I19</f>
        <v/>
      </c>
      <c r="J20" s="756">
        <f>I20+J19</f>
        <v/>
      </c>
      <c r="K20" s="756">
        <f>J20+K19</f>
        <v/>
      </c>
      <c r="L20" s="756">
        <f>K20+L19</f>
        <v/>
      </c>
      <c r="M20" s="756">
        <f>L20+M19</f>
        <v/>
      </c>
      <c r="N20" s="756">
        <f>M20+N19</f>
        <v/>
      </c>
      <c r="O20" s="756">
        <f>N20+O19</f>
        <v/>
      </c>
      <c r="P20" s="756">
        <f>O20+P19</f>
        <v/>
      </c>
      <c r="Q20" s="756">
        <f>P20+Q19</f>
        <v/>
      </c>
      <c r="R20" s="756">
        <f>Q20+R19</f>
        <v/>
      </c>
      <c r="S20" s="756">
        <f>R20+S19</f>
        <v/>
      </c>
      <c r="T20" s="756">
        <f>S20+T19</f>
        <v/>
      </c>
      <c r="U20" s="756">
        <f>T20+U19</f>
        <v/>
      </c>
      <c r="V20" s="756">
        <f>U20+V19</f>
        <v/>
      </c>
      <c r="W20" s="756">
        <f>V20+W19</f>
        <v/>
      </c>
      <c r="X20" s="756">
        <f>W20+X19</f>
        <v/>
      </c>
      <c r="Y20" s="756">
        <f>X20+Y19</f>
        <v/>
      </c>
      <c r="Z20" s="756">
        <f>Y20+Z19</f>
        <v/>
      </c>
      <c r="AA20" s="756">
        <f>Z20+AA19</f>
        <v/>
      </c>
      <c r="AB20" s="756">
        <f>AA20+AB19</f>
        <v/>
      </c>
      <c r="AC20" s="756">
        <f>AB20+AC19</f>
        <v/>
      </c>
      <c r="AD20" s="756">
        <f>AC20+AD19</f>
        <v/>
      </c>
      <c r="AE20" s="756">
        <f>AD20+AE19</f>
        <v/>
      </c>
      <c r="AF20" s="756">
        <f>AE20+AF19</f>
        <v/>
      </c>
      <c r="AG20" s="756">
        <f>AF20+AG19</f>
        <v/>
      </c>
      <c r="AH20" s="756">
        <f>AG20+AH19</f>
        <v/>
      </c>
      <c r="AI20" s="756">
        <f>AH20+AI19</f>
        <v/>
      </c>
      <c r="AJ20" s="756">
        <f>AI20+AJ19</f>
        <v/>
      </c>
      <c r="AK20" s="756">
        <f>AJ20+AK19</f>
        <v/>
      </c>
      <c r="AL20" s="756">
        <f>AK20+AL19</f>
        <v/>
      </c>
      <c r="AM20" s="756">
        <f>AL20+AM19</f>
        <v/>
      </c>
      <c r="AN20" s="756">
        <f>AM20+AN19</f>
        <v/>
      </c>
      <c r="AO20" s="756">
        <f>AN20+AO19</f>
        <v/>
      </c>
      <c r="AP20" s="756">
        <f>AO20+AP19</f>
        <v/>
      </c>
      <c r="AQ20" s="756">
        <f>AP20+AQ19</f>
        <v/>
      </c>
      <c r="AR20" s="756">
        <f>AQ20+AR19</f>
        <v/>
      </c>
      <c r="AS20" s="756">
        <f>AR20+AS19</f>
        <v/>
      </c>
      <c r="AT20" s="756">
        <f>AS20+AT19</f>
        <v/>
      </c>
      <c r="AU20" s="756">
        <f>AT20+AU19</f>
        <v/>
      </c>
      <c r="AV20" s="756">
        <f>AU20+AV19</f>
        <v/>
      </c>
      <c r="AW20" s="756">
        <f>AV20+AW19</f>
        <v/>
      </c>
      <c r="AX20" s="756">
        <f>AW20+AX19</f>
        <v/>
      </c>
      <c r="AY20" s="756">
        <f>AX20+AY19</f>
        <v/>
      </c>
      <c r="AZ20" s="756">
        <f>AY20+AZ19</f>
        <v/>
      </c>
      <c r="BA20" s="756">
        <f>AZ20+BA19</f>
        <v/>
      </c>
      <c r="BB20" s="756">
        <f>BA20+BB19</f>
        <v/>
      </c>
      <c r="BC20" s="756">
        <f>BB20+BC19</f>
        <v/>
      </c>
      <c r="BD20" s="756">
        <f>BC20+BD19</f>
        <v/>
      </c>
      <c r="BE20" s="756">
        <f>BD20+BE19</f>
        <v/>
      </c>
      <c r="BF20" s="756">
        <f>BE20+BF19</f>
        <v/>
      </c>
      <c r="BG20" s="756">
        <f>BF20+BG19</f>
        <v/>
      </c>
      <c r="BH20" s="756">
        <f>BG20+BH19</f>
        <v/>
      </c>
      <c r="BI20" s="756">
        <f>BH20+BI19</f>
        <v/>
      </c>
      <c r="BJ20" s="756">
        <f>BJ19</f>
        <v/>
      </c>
    </row>
  </sheetData>
  <pageMargins left="0.7" right="0.7" top="0.75" bottom="0.75" header="0.3" footer="0.3"/>
  <pageSetup orientation="portrait" horizontalDpi="0" verticalDpi="0"/>
</worksheet>
</file>

<file path=xl/worksheets/sheet10.xml><?xml version="1.0" encoding="utf-8"?>
<worksheet xmlns="http://schemas.openxmlformats.org/spreadsheetml/2006/main">
  <sheetPr>
    <tabColor rgb="FF548235"/>
    <outlinePr summaryBelow="1" summaryRight="1"/>
    <pageSetUpPr/>
  </sheetPr>
  <dimension ref="A1:BJ39"/>
  <sheetViews>
    <sheetView workbookViewId="0">
      <pane xSplit="11" ySplit="24" topLeftCell="BJ25" activePane="bottomRight" state="frozen"/>
      <selection pane="topRight" activeCell="L1" sqref="L1"/>
      <selection pane="bottomLeft" activeCell="A25" sqref="A25"/>
      <selection pane="bottomRight" activeCell="B7" sqref="B7"/>
    </sheetView>
  </sheetViews>
  <sheetFormatPr baseColWidth="10" defaultRowHeight="16"/>
  <cols>
    <col width="46.6640625" customWidth="1" min="1" max="1"/>
  </cols>
  <sheetData>
    <row r="1" ht="19" customHeight="1">
      <c r="A1" s="21" t="inlineStr">
        <is>
          <t>COSTOS DIRECTOS — Proyección Mensual</t>
        </is>
      </c>
    </row>
    <row r="3">
      <c r="A3" s="22" t="inlineStr">
        <is>
          <t>Concepto</t>
        </is>
      </c>
      <c r="B3" s="34" t="n">
        <v>1</v>
      </c>
      <c r="C3" s="34" t="n">
        <v>2</v>
      </c>
      <c r="D3" s="34" t="n">
        <v>3</v>
      </c>
      <c r="E3" s="34" t="n">
        <v>4</v>
      </c>
      <c r="F3" s="34" t="n">
        <v>5</v>
      </c>
      <c r="G3" s="34" t="n">
        <v>6</v>
      </c>
      <c r="H3" s="34" t="n">
        <v>7</v>
      </c>
      <c r="I3" s="34" t="n">
        <v>8</v>
      </c>
      <c r="J3" s="34" t="n">
        <v>9</v>
      </c>
      <c r="K3" s="34" t="n">
        <v>10</v>
      </c>
      <c r="L3" s="34" t="n">
        <v>11</v>
      </c>
      <c r="M3" s="34" t="n">
        <v>12</v>
      </c>
      <c r="N3" s="34" t="n">
        <v>13</v>
      </c>
      <c r="O3" s="34" t="n">
        <v>14</v>
      </c>
      <c r="P3" s="34" t="n">
        <v>15</v>
      </c>
      <c r="Q3" s="34" t="n">
        <v>16</v>
      </c>
      <c r="R3" s="34" t="n">
        <v>17</v>
      </c>
      <c r="S3" s="34" t="n">
        <v>18</v>
      </c>
      <c r="T3" s="34" t="n">
        <v>19</v>
      </c>
      <c r="U3" s="34" t="n">
        <v>20</v>
      </c>
      <c r="V3" s="34" t="n">
        <v>21</v>
      </c>
      <c r="W3" s="34" t="n">
        <v>22</v>
      </c>
      <c r="X3" s="34" t="n">
        <v>23</v>
      </c>
      <c r="Y3" s="34" t="n">
        <v>24</v>
      </c>
      <c r="Z3" s="34" t="n">
        <v>25</v>
      </c>
      <c r="AA3" s="34" t="n">
        <v>26</v>
      </c>
      <c r="AB3" s="34" t="n">
        <v>27</v>
      </c>
      <c r="AC3" s="34" t="n">
        <v>28</v>
      </c>
      <c r="AD3" s="34" t="n">
        <v>29</v>
      </c>
      <c r="AE3" s="34" t="n">
        <v>30</v>
      </c>
      <c r="AF3" s="34" t="n">
        <v>31</v>
      </c>
      <c r="AG3" s="34" t="n">
        <v>32</v>
      </c>
      <c r="AH3" s="34" t="n">
        <v>33</v>
      </c>
      <c r="AI3" s="34" t="n">
        <v>34</v>
      </c>
      <c r="AJ3" s="34" t="n">
        <v>35</v>
      </c>
      <c r="AK3" s="34" t="n">
        <v>36</v>
      </c>
      <c r="AL3" s="34" t="n">
        <v>37</v>
      </c>
      <c r="AM3" s="34" t="n">
        <v>38</v>
      </c>
      <c r="AN3" s="34" t="n">
        <v>39</v>
      </c>
      <c r="AO3" s="34" t="n">
        <v>40</v>
      </c>
      <c r="AP3" s="34" t="n">
        <v>41</v>
      </c>
      <c r="AQ3" s="34" t="n">
        <v>42</v>
      </c>
      <c r="AR3" s="34" t="n">
        <v>43</v>
      </c>
      <c r="AS3" s="34" t="n">
        <v>44</v>
      </c>
      <c r="AT3" s="34" t="n">
        <v>45</v>
      </c>
      <c r="AU3" s="34" t="n">
        <v>46</v>
      </c>
      <c r="AV3" s="34" t="n">
        <v>47</v>
      </c>
      <c r="AW3" s="34" t="n">
        <v>48</v>
      </c>
      <c r="AX3" s="34" t="n">
        <v>49</v>
      </c>
      <c r="AY3" s="34" t="n">
        <v>50</v>
      </c>
      <c r="AZ3" s="34" t="n">
        <v>51</v>
      </c>
      <c r="BA3" s="34" t="n">
        <v>52</v>
      </c>
      <c r="BB3" s="34" t="n">
        <v>53</v>
      </c>
      <c r="BC3" s="34" t="n">
        <v>54</v>
      </c>
      <c r="BD3" s="34" t="n">
        <v>55</v>
      </c>
      <c r="BE3" s="34" t="n">
        <v>56</v>
      </c>
      <c r="BF3" s="34" t="n">
        <v>57</v>
      </c>
      <c r="BG3" s="34" t="n">
        <v>58</v>
      </c>
      <c r="BH3" s="34" t="n">
        <v>59</v>
      </c>
      <c r="BI3" s="34" t="n">
        <v>60</v>
      </c>
      <c r="BJ3" s="48" t="inlineStr">
        <is>
          <t>TOTAL</t>
        </is>
      </c>
    </row>
    <row r="5">
      <c r="A5" s="22" t="inlineStr">
        <is>
          <t>COSTOS VARIABLES</t>
        </is>
      </c>
    </row>
    <row r="6">
      <c r="A6" s="35" t="inlineStr">
        <is>
          <t>Incentivos / premios por mesero activo</t>
        </is>
      </c>
      <c r="B6" s="50">
        <f>Onboarding!B19*'Supuestos Generales'!$B$69</f>
        <v/>
      </c>
      <c r="C6" s="50">
        <f>Onboarding!C19*'Supuestos Generales'!$B$69</f>
        <v/>
      </c>
      <c r="D6" s="50">
        <f>Onboarding!D19*'Supuestos Generales'!$B$69</f>
        <v/>
      </c>
      <c r="E6" s="50">
        <f>Onboarding!E19*'Supuestos Generales'!$B$69</f>
        <v/>
      </c>
      <c r="F6" s="50">
        <f>Onboarding!F19*'Supuestos Generales'!$B$69</f>
        <v/>
      </c>
      <c r="G6" s="50">
        <f>Onboarding!G19*'Supuestos Generales'!$B$69</f>
        <v/>
      </c>
      <c r="H6" s="50">
        <f>Onboarding!H19*'Supuestos Generales'!$B$69</f>
        <v/>
      </c>
      <c r="I6" s="50">
        <f>Onboarding!I19*'Supuestos Generales'!$B$69</f>
        <v/>
      </c>
      <c r="J6" s="50">
        <f>Onboarding!J19*'Supuestos Generales'!$B$69</f>
        <v/>
      </c>
      <c r="K6" s="50">
        <f>Onboarding!K19*'Supuestos Generales'!$B$69</f>
        <v/>
      </c>
      <c r="L6" s="50">
        <f>Onboarding!L19*'Supuestos Generales'!$B$69</f>
        <v/>
      </c>
      <c r="M6" s="50">
        <f>Onboarding!M19*'Supuestos Generales'!$B$69</f>
        <v/>
      </c>
      <c r="N6" s="50">
        <f>Onboarding!N19*'Supuestos Generales'!$B$69</f>
        <v/>
      </c>
      <c r="O6" s="50">
        <f>Onboarding!O19*'Supuestos Generales'!$B$69</f>
        <v/>
      </c>
      <c r="P6" s="50">
        <f>Onboarding!P19*'Supuestos Generales'!$B$69</f>
        <v/>
      </c>
      <c r="Q6" s="50">
        <f>Onboarding!Q19*'Supuestos Generales'!$B$69</f>
        <v/>
      </c>
      <c r="R6" s="50">
        <f>Onboarding!R19*'Supuestos Generales'!$B$69</f>
        <v/>
      </c>
      <c r="S6" s="50">
        <f>Onboarding!S19*'Supuestos Generales'!$B$69</f>
        <v/>
      </c>
      <c r="T6" s="50">
        <f>Onboarding!T19*'Supuestos Generales'!$B$69</f>
        <v/>
      </c>
      <c r="U6" s="50">
        <f>Onboarding!U19*'Supuestos Generales'!$B$69</f>
        <v/>
      </c>
      <c r="V6" s="50">
        <f>Onboarding!V19*'Supuestos Generales'!$B$69</f>
        <v/>
      </c>
      <c r="W6" s="50">
        <f>Onboarding!W19*'Supuestos Generales'!$B$69</f>
        <v/>
      </c>
      <c r="X6" s="50">
        <f>Onboarding!X19*'Supuestos Generales'!$B$69</f>
        <v/>
      </c>
      <c r="Y6" s="50">
        <f>Onboarding!Y19*'Supuestos Generales'!$B$69</f>
        <v/>
      </c>
      <c r="Z6" s="50">
        <f>Onboarding!Z19*'Supuestos Generales'!$B$69</f>
        <v/>
      </c>
      <c r="AA6" s="50">
        <f>Onboarding!AA19*'Supuestos Generales'!$B$69</f>
        <v/>
      </c>
      <c r="AB6" s="50">
        <f>Onboarding!AB19*'Supuestos Generales'!$B$69</f>
        <v/>
      </c>
      <c r="AC6" s="50">
        <f>Onboarding!AC19*'Supuestos Generales'!$B$69</f>
        <v/>
      </c>
      <c r="AD6" s="50">
        <f>Onboarding!AD19*'Supuestos Generales'!$B$69</f>
        <v/>
      </c>
      <c r="AE6" s="50">
        <f>Onboarding!AE19*'Supuestos Generales'!$B$69</f>
        <v/>
      </c>
      <c r="AF6" s="50">
        <f>Onboarding!AF19*'Supuestos Generales'!$B$69</f>
        <v/>
      </c>
      <c r="AG6" s="50">
        <f>Onboarding!AG19*'Supuestos Generales'!$B$69</f>
        <v/>
      </c>
      <c r="AH6" s="50">
        <f>Onboarding!AH19*'Supuestos Generales'!$B$69</f>
        <v/>
      </c>
      <c r="AI6" s="50">
        <f>Onboarding!AI19*'Supuestos Generales'!$B$69</f>
        <v/>
      </c>
      <c r="AJ6" s="50">
        <f>Onboarding!AJ19*'Supuestos Generales'!$B$69</f>
        <v/>
      </c>
      <c r="AK6" s="50">
        <f>Onboarding!AK19*'Supuestos Generales'!$B$69</f>
        <v/>
      </c>
      <c r="AL6" s="50">
        <f>Onboarding!AL19*'Supuestos Generales'!$B$69</f>
        <v/>
      </c>
      <c r="AM6" s="50">
        <f>Onboarding!AM19*'Supuestos Generales'!$B$69</f>
        <v/>
      </c>
      <c r="AN6" s="50">
        <f>Onboarding!AN19*'Supuestos Generales'!$B$69</f>
        <v/>
      </c>
      <c r="AO6" s="50">
        <f>Onboarding!AO19*'Supuestos Generales'!$B$69</f>
        <v/>
      </c>
      <c r="AP6" s="50">
        <f>Onboarding!AP19*'Supuestos Generales'!$B$69</f>
        <v/>
      </c>
      <c r="AQ6" s="50">
        <f>Onboarding!AQ19*'Supuestos Generales'!$B$69</f>
        <v/>
      </c>
      <c r="AR6" s="50">
        <f>Onboarding!AR19*'Supuestos Generales'!$B$69</f>
        <v/>
      </c>
      <c r="AS6" s="50">
        <f>Onboarding!AS19*'Supuestos Generales'!$B$69</f>
        <v/>
      </c>
      <c r="AT6" s="50">
        <f>Onboarding!AT19*'Supuestos Generales'!$B$69</f>
        <v/>
      </c>
      <c r="AU6" s="50">
        <f>Onboarding!AU19*'Supuestos Generales'!$B$69</f>
        <v/>
      </c>
      <c r="AV6" s="50">
        <f>Onboarding!AV19*'Supuestos Generales'!$B$69</f>
        <v/>
      </c>
      <c r="AW6" s="50">
        <f>Onboarding!AW19*'Supuestos Generales'!$B$69</f>
        <v/>
      </c>
      <c r="AX6" s="50">
        <f>Onboarding!AX19*'Supuestos Generales'!$B$69</f>
        <v/>
      </c>
      <c r="AY6" s="50">
        <f>Onboarding!AY19*'Supuestos Generales'!$B$69</f>
        <v/>
      </c>
      <c r="AZ6" s="50">
        <f>Onboarding!AZ19*'Supuestos Generales'!$B$69</f>
        <v/>
      </c>
      <c r="BA6" s="50">
        <f>Onboarding!BA19*'Supuestos Generales'!$B$69</f>
        <v/>
      </c>
      <c r="BB6" s="50">
        <f>Onboarding!BB19*'Supuestos Generales'!$B$69</f>
        <v/>
      </c>
      <c r="BC6" s="50">
        <f>Onboarding!BC19*'Supuestos Generales'!$B$69</f>
        <v/>
      </c>
      <c r="BD6" s="50">
        <f>Onboarding!BD19*'Supuestos Generales'!$B$69</f>
        <v/>
      </c>
      <c r="BE6" s="50">
        <f>Onboarding!BE19*'Supuestos Generales'!$B$69</f>
        <v/>
      </c>
      <c r="BF6" s="50">
        <f>Onboarding!BF19*'Supuestos Generales'!$B$69</f>
        <v/>
      </c>
      <c r="BG6" s="50">
        <f>Onboarding!BG19*'Supuestos Generales'!$B$69</f>
        <v/>
      </c>
      <c r="BH6" s="50">
        <f>Onboarding!BH19*'Supuestos Generales'!$B$69</f>
        <v/>
      </c>
      <c r="BI6" s="50">
        <f>Onboarding!BI19*'Supuestos Generales'!$B$69</f>
        <v/>
      </c>
      <c r="BJ6" s="50">
        <f>SUM(B6:BI6)</f>
        <v/>
      </c>
    </row>
    <row r="7">
      <c r="A7" s="35" t="inlineStr">
        <is>
          <t>Costo redención Super Monedas</t>
        </is>
      </c>
      <c r="B7" s="50">
        <f>(Ingresos!B14+Ingresos!B15)*'Supuestos Generales'!$B$33*'Supuestos Generales'!$B$70</f>
        <v/>
      </c>
      <c r="C7" s="50">
        <f>(Ingresos!C14+Ingresos!C15)*'Supuestos Generales'!$B$33*'Supuestos Generales'!$B$70</f>
        <v/>
      </c>
      <c r="D7" s="50">
        <f>(Ingresos!D14+Ingresos!D15)*'Supuestos Generales'!$B$33*'Supuestos Generales'!$B$70</f>
        <v/>
      </c>
      <c r="E7" s="50">
        <f>(Ingresos!E14+Ingresos!E15)*'Supuestos Generales'!$B$33*'Supuestos Generales'!$B$70</f>
        <v/>
      </c>
      <c r="F7" s="50">
        <f>(Ingresos!F14+Ingresos!F15)*'Supuestos Generales'!$B$33*'Supuestos Generales'!$B$70</f>
        <v/>
      </c>
      <c r="G7" s="50">
        <f>(Ingresos!G14+Ingresos!G15)*'Supuestos Generales'!$B$33*'Supuestos Generales'!$B$70</f>
        <v/>
      </c>
      <c r="H7" s="50">
        <f>(Ingresos!H14+Ingresos!H15)*'Supuestos Generales'!$B$33*'Supuestos Generales'!$B$70</f>
        <v/>
      </c>
      <c r="I7" s="50">
        <f>(Ingresos!I14+Ingresos!I15)*'Supuestos Generales'!$B$33*'Supuestos Generales'!$B$70</f>
        <v/>
      </c>
      <c r="J7" s="50">
        <f>(Ingresos!J14+Ingresos!J15)*'Supuestos Generales'!$B$33*'Supuestos Generales'!$B$70</f>
        <v/>
      </c>
      <c r="K7" s="50">
        <f>(Ingresos!K14+Ingresos!K15)*'Supuestos Generales'!$B$33*'Supuestos Generales'!$B$70</f>
        <v/>
      </c>
      <c r="L7" s="50">
        <f>(Ingresos!L14+Ingresos!L15)*'Supuestos Generales'!$B$33*'Supuestos Generales'!$B$70</f>
        <v/>
      </c>
      <c r="M7" s="50">
        <f>(Ingresos!M14+Ingresos!M15)*'Supuestos Generales'!$B$33*'Supuestos Generales'!$B$70</f>
        <v/>
      </c>
      <c r="N7" s="50">
        <f>(Ingresos!N14+Ingresos!N15)*'Supuestos Generales'!$B$33*'Supuestos Generales'!$B$70</f>
        <v/>
      </c>
      <c r="O7" s="50">
        <f>(Ingresos!O14+Ingresos!O15)*'Supuestos Generales'!$B$33*'Supuestos Generales'!$B$70</f>
        <v/>
      </c>
      <c r="P7" s="50">
        <f>(Ingresos!P14+Ingresos!P15)*'Supuestos Generales'!$B$33*'Supuestos Generales'!$B$70</f>
        <v/>
      </c>
      <c r="Q7" s="50">
        <f>(Ingresos!Q14+Ingresos!Q15)*'Supuestos Generales'!$B$33*'Supuestos Generales'!$B$70</f>
        <v/>
      </c>
      <c r="R7" s="50">
        <f>(Ingresos!R14+Ingresos!R15)*'Supuestos Generales'!$B$33*'Supuestos Generales'!$B$70</f>
        <v/>
      </c>
      <c r="S7" s="50">
        <f>(Ingresos!S14+Ingresos!S15)*'Supuestos Generales'!$B$33*'Supuestos Generales'!$B$70</f>
        <v/>
      </c>
      <c r="T7" s="50">
        <f>(Ingresos!T14+Ingresos!T15)*'Supuestos Generales'!$B$33*'Supuestos Generales'!$B$70</f>
        <v/>
      </c>
      <c r="U7" s="50">
        <f>(Ingresos!U14+Ingresos!U15)*'Supuestos Generales'!$B$33*'Supuestos Generales'!$B$70</f>
        <v/>
      </c>
      <c r="V7" s="50">
        <f>(Ingresos!V14+Ingresos!V15)*'Supuestos Generales'!$B$33*'Supuestos Generales'!$B$70</f>
        <v/>
      </c>
      <c r="W7" s="50">
        <f>(Ingresos!W14+Ingresos!W15)*'Supuestos Generales'!$B$33*'Supuestos Generales'!$B$70</f>
        <v/>
      </c>
      <c r="X7" s="50">
        <f>(Ingresos!X14+Ingresos!X15)*'Supuestos Generales'!$B$33*'Supuestos Generales'!$B$70</f>
        <v/>
      </c>
      <c r="Y7" s="50">
        <f>(Ingresos!Y14+Ingresos!Y15)*'Supuestos Generales'!$B$33*'Supuestos Generales'!$B$70</f>
        <v/>
      </c>
      <c r="Z7" s="50">
        <f>(Ingresos!Z14+Ingresos!Z15)*'Supuestos Generales'!$B$33*'Supuestos Generales'!$B$70</f>
        <v/>
      </c>
      <c r="AA7" s="50">
        <f>(Ingresos!AA14+Ingresos!AA15)*'Supuestos Generales'!$B$33*'Supuestos Generales'!$B$70</f>
        <v/>
      </c>
      <c r="AB7" s="50">
        <f>(Ingresos!AB14+Ingresos!AB15)*'Supuestos Generales'!$B$33*'Supuestos Generales'!$B$70</f>
        <v/>
      </c>
      <c r="AC7" s="50">
        <f>(Ingresos!AC14+Ingresos!AC15)*'Supuestos Generales'!$B$33*'Supuestos Generales'!$B$70</f>
        <v/>
      </c>
      <c r="AD7" s="50">
        <f>(Ingresos!AD14+Ingresos!AD15)*'Supuestos Generales'!$B$33*'Supuestos Generales'!$B$70</f>
        <v/>
      </c>
      <c r="AE7" s="50">
        <f>(Ingresos!AE14+Ingresos!AE15)*'Supuestos Generales'!$B$33*'Supuestos Generales'!$B$70</f>
        <v/>
      </c>
      <c r="AF7" s="50">
        <f>(Ingresos!AF14+Ingresos!AF15)*'Supuestos Generales'!$B$33*'Supuestos Generales'!$B$70</f>
        <v/>
      </c>
      <c r="AG7" s="50">
        <f>(Ingresos!AG14+Ingresos!AG15)*'Supuestos Generales'!$B$33*'Supuestos Generales'!$B$70</f>
        <v/>
      </c>
      <c r="AH7" s="50">
        <f>(Ingresos!AH14+Ingresos!AH15)*'Supuestos Generales'!$B$33*'Supuestos Generales'!$B$70</f>
        <v/>
      </c>
      <c r="AI7" s="50">
        <f>(Ingresos!AI14+Ingresos!AI15)*'Supuestos Generales'!$B$33*'Supuestos Generales'!$B$70</f>
        <v/>
      </c>
      <c r="AJ7" s="50">
        <f>(Ingresos!AJ14+Ingresos!AJ15)*'Supuestos Generales'!$B$33*'Supuestos Generales'!$B$70</f>
        <v/>
      </c>
      <c r="AK7" s="50">
        <f>(Ingresos!AK14+Ingresos!AK15)*'Supuestos Generales'!$B$33*'Supuestos Generales'!$B$70</f>
        <v/>
      </c>
      <c r="AL7" s="50">
        <f>(Ingresos!AL14+Ingresos!AL15)*'Supuestos Generales'!$B$33*'Supuestos Generales'!$B$70</f>
        <v/>
      </c>
      <c r="AM7" s="50">
        <f>(Ingresos!AM14+Ingresos!AM15)*'Supuestos Generales'!$B$33*'Supuestos Generales'!$B$70</f>
        <v/>
      </c>
      <c r="AN7" s="50">
        <f>(Ingresos!AN14+Ingresos!AN15)*'Supuestos Generales'!$B$33*'Supuestos Generales'!$B$70</f>
        <v/>
      </c>
      <c r="AO7" s="50">
        <f>(Ingresos!AO14+Ingresos!AO15)*'Supuestos Generales'!$B$33*'Supuestos Generales'!$B$70</f>
        <v/>
      </c>
      <c r="AP7" s="50">
        <f>(Ingresos!AP14+Ingresos!AP15)*'Supuestos Generales'!$B$33*'Supuestos Generales'!$B$70</f>
        <v/>
      </c>
      <c r="AQ7" s="50">
        <f>(Ingresos!AQ14+Ingresos!AQ15)*'Supuestos Generales'!$B$33*'Supuestos Generales'!$B$70</f>
        <v/>
      </c>
      <c r="AR7" s="50">
        <f>(Ingresos!AR14+Ingresos!AR15)*'Supuestos Generales'!$B$33*'Supuestos Generales'!$B$70</f>
        <v/>
      </c>
      <c r="AS7" s="50">
        <f>(Ingresos!AS14+Ingresos!AS15)*'Supuestos Generales'!$B$33*'Supuestos Generales'!$B$70</f>
        <v/>
      </c>
      <c r="AT7" s="50">
        <f>(Ingresos!AT14+Ingresos!AT15)*'Supuestos Generales'!$B$33*'Supuestos Generales'!$B$70</f>
        <v/>
      </c>
      <c r="AU7" s="50">
        <f>(Ingresos!AU14+Ingresos!AU15)*'Supuestos Generales'!$B$33*'Supuestos Generales'!$B$70</f>
        <v/>
      </c>
      <c r="AV7" s="50">
        <f>(Ingresos!AV14+Ingresos!AV15)*'Supuestos Generales'!$B$33*'Supuestos Generales'!$B$70</f>
        <v/>
      </c>
      <c r="AW7" s="50">
        <f>(Ingresos!AW14+Ingresos!AW15)*'Supuestos Generales'!$B$33*'Supuestos Generales'!$B$70</f>
        <v/>
      </c>
      <c r="AX7" s="50">
        <f>(Ingresos!AX14+Ingresos!AX15)*'Supuestos Generales'!$B$33*'Supuestos Generales'!$B$70</f>
        <v/>
      </c>
      <c r="AY7" s="50">
        <f>(Ingresos!AY14+Ingresos!AY15)*'Supuestos Generales'!$B$33*'Supuestos Generales'!$B$70</f>
        <v/>
      </c>
      <c r="AZ7" s="50">
        <f>(Ingresos!AZ14+Ingresos!AZ15)*'Supuestos Generales'!$B$33*'Supuestos Generales'!$B$70</f>
        <v/>
      </c>
      <c r="BA7" s="50">
        <f>(Ingresos!BA14+Ingresos!BA15)*'Supuestos Generales'!$B$33*'Supuestos Generales'!$B$70</f>
        <v/>
      </c>
      <c r="BB7" s="50">
        <f>(Ingresos!BB14+Ingresos!BB15)*'Supuestos Generales'!$B$33*'Supuestos Generales'!$B$70</f>
        <v/>
      </c>
      <c r="BC7" s="50">
        <f>(Ingresos!BC14+Ingresos!BC15)*'Supuestos Generales'!$B$33*'Supuestos Generales'!$B$70</f>
        <v/>
      </c>
      <c r="BD7" s="50">
        <f>(Ingresos!BD14+Ingresos!BD15)*'Supuestos Generales'!$B$33*'Supuestos Generales'!$B$70</f>
        <v/>
      </c>
      <c r="BE7" s="50">
        <f>(Ingresos!BE14+Ingresos!BE15)*'Supuestos Generales'!$B$33*'Supuestos Generales'!$B$70</f>
        <v/>
      </c>
      <c r="BF7" s="50">
        <f>(Ingresos!BF14+Ingresos!BF15)*'Supuestos Generales'!$B$33*'Supuestos Generales'!$B$70</f>
        <v/>
      </c>
      <c r="BG7" s="50">
        <f>(Ingresos!BG14+Ingresos!BG15)*'Supuestos Generales'!$B$33*'Supuestos Generales'!$B$70</f>
        <v/>
      </c>
      <c r="BH7" s="50">
        <f>(Ingresos!BH14+Ingresos!BH15)*'Supuestos Generales'!$B$33*'Supuestos Generales'!$B$70</f>
        <v/>
      </c>
      <c r="BI7" s="50">
        <f>(Ingresos!BI14+Ingresos!BI15)*'Supuestos Generales'!$B$33*'Supuestos Generales'!$B$70</f>
        <v/>
      </c>
      <c r="BJ7" s="50">
        <f>SUM(B7:BI7)</f>
        <v/>
      </c>
    </row>
    <row r="8">
      <c r="A8" s="35" t="inlineStr">
        <is>
          <t>Infraestructura por mesero activo (hosting)</t>
        </is>
      </c>
      <c r="B8" s="50">
        <f>Onboarding!B19*'Supuestos Generales'!$B$71</f>
        <v/>
      </c>
      <c r="C8" s="50">
        <f>Onboarding!C19*'Supuestos Generales'!$B$71</f>
        <v/>
      </c>
      <c r="D8" s="50">
        <f>Onboarding!D19*'Supuestos Generales'!$B$71</f>
        <v/>
      </c>
      <c r="E8" s="50">
        <f>Onboarding!E19*'Supuestos Generales'!$B$71</f>
        <v/>
      </c>
      <c r="F8" s="50">
        <f>Onboarding!F19*'Supuestos Generales'!$B$71</f>
        <v/>
      </c>
      <c r="G8" s="50">
        <f>Onboarding!G19*'Supuestos Generales'!$B$71</f>
        <v/>
      </c>
      <c r="H8" s="50">
        <f>Onboarding!H19*'Supuestos Generales'!$B$71</f>
        <v/>
      </c>
      <c r="I8" s="50">
        <f>Onboarding!I19*'Supuestos Generales'!$B$71</f>
        <v/>
      </c>
      <c r="J8" s="50">
        <f>Onboarding!J19*'Supuestos Generales'!$B$71</f>
        <v/>
      </c>
      <c r="K8" s="50">
        <f>Onboarding!K19*'Supuestos Generales'!$B$71</f>
        <v/>
      </c>
      <c r="L8" s="50">
        <f>Onboarding!L19*'Supuestos Generales'!$B$71</f>
        <v/>
      </c>
      <c r="M8" s="50">
        <f>Onboarding!M19*'Supuestos Generales'!$B$71</f>
        <v/>
      </c>
      <c r="N8" s="50">
        <f>Onboarding!N19*'Supuestos Generales'!$B$71</f>
        <v/>
      </c>
      <c r="O8" s="50">
        <f>Onboarding!O19*'Supuestos Generales'!$B$71</f>
        <v/>
      </c>
      <c r="P8" s="50">
        <f>Onboarding!P19*'Supuestos Generales'!$B$71</f>
        <v/>
      </c>
      <c r="Q8" s="50">
        <f>Onboarding!Q19*'Supuestos Generales'!$B$71</f>
        <v/>
      </c>
      <c r="R8" s="50">
        <f>Onboarding!R19*'Supuestos Generales'!$B$71</f>
        <v/>
      </c>
      <c r="S8" s="50">
        <f>Onboarding!S19*'Supuestos Generales'!$B$71</f>
        <v/>
      </c>
      <c r="T8" s="50">
        <f>Onboarding!T19*'Supuestos Generales'!$B$71</f>
        <v/>
      </c>
      <c r="U8" s="50">
        <f>Onboarding!U19*'Supuestos Generales'!$B$71</f>
        <v/>
      </c>
      <c r="V8" s="50">
        <f>Onboarding!V19*'Supuestos Generales'!$B$71</f>
        <v/>
      </c>
      <c r="W8" s="50">
        <f>Onboarding!W19*'Supuestos Generales'!$B$71</f>
        <v/>
      </c>
      <c r="X8" s="50">
        <f>Onboarding!X19*'Supuestos Generales'!$B$71</f>
        <v/>
      </c>
      <c r="Y8" s="50">
        <f>Onboarding!Y19*'Supuestos Generales'!$B$71</f>
        <v/>
      </c>
      <c r="Z8" s="50">
        <f>Onboarding!Z19*'Supuestos Generales'!$B$71</f>
        <v/>
      </c>
      <c r="AA8" s="50">
        <f>Onboarding!AA19*'Supuestos Generales'!$B$71</f>
        <v/>
      </c>
      <c r="AB8" s="50">
        <f>Onboarding!AB19*'Supuestos Generales'!$B$71</f>
        <v/>
      </c>
      <c r="AC8" s="50">
        <f>Onboarding!AC19*'Supuestos Generales'!$B$71</f>
        <v/>
      </c>
      <c r="AD8" s="50">
        <f>Onboarding!AD19*'Supuestos Generales'!$B$71</f>
        <v/>
      </c>
      <c r="AE8" s="50">
        <f>Onboarding!AE19*'Supuestos Generales'!$B$71</f>
        <v/>
      </c>
      <c r="AF8" s="50">
        <f>Onboarding!AF19*'Supuestos Generales'!$B$71</f>
        <v/>
      </c>
      <c r="AG8" s="50">
        <f>Onboarding!AG19*'Supuestos Generales'!$B$71</f>
        <v/>
      </c>
      <c r="AH8" s="50">
        <f>Onboarding!AH19*'Supuestos Generales'!$B$71</f>
        <v/>
      </c>
      <c r="AI8" s="50">
        <f>Onboarding!AI19*'Supuestos Generales'!$B$71</f>
        <v/>
      </c>
      <c r="AJ8" s="50">
        <f>Onboarding!AJ19*'Supuestos Generales'!$B$71</f>
        <v/>
      </c>
      <c r="AK8" s="50">
        <f>Onboarding!AK19*'Supuestos Generales'!$B$71</f>
        <v/>
      </c>
      <c r="AL8" s="50">
        <f>Onboarding!AL19*'Supuestos Generales'!$B$71</f>
        <v/>
      </c>
      <c r="AM8" s="50">
        <f>Onboarding!AM19*'Supuestos Generales'!$B$71</f>
        <v/>
      </c>
      <c r="AN8" s="50">
        <f>Onboarding!AN19*'Supuestos Generales'!$B$71</f>
        <v/>
      </c>
      <c r="AO8" s="50">
        <f>Onboarding!AO19*'Supuestos Generales'!$B$71</f>
        <v/>
      </c>
      <c r="AP8" s="50">
        <f>Onboarding!AP19*'Supuestos Generales'!$B$71</f>
        <v/>
      </c>
      <c r="AQ8" s="50">
        <f>Onboarding!AQ19*'Supuestos Generales'!$B$71</f>
        <v/>
      </c>
      <c r="AR8" s="50">
        <f>Onboarding!AR19*'Supuestos Generales'!$B$71</f>
        <v/>
      </c>
      <c r="AS8" s="50">
        <f>Onboarding!AS19*'Supuestos Generales'!$B$71</f>
        <v/>
      </c>
      <c r="AT8" s="50">
        <f>Onboarding!AT19*'Supuestos Generales'!$B$71</f>
        <v/>
      </c>
      <c r="AU8" s="50">
        <f>Onboarding!AU19*'Supuestos Generales'!$B$71</f>
        <v/>
      </c>
      <c r="AV8" s="50">
        <f>Onboarding!AV19*'Supuestos Generales'!$B$71</f>
        <v/>
      </c>
      <c r="AW8" s="50">
        <f>Onboarding!AW19*'Supuestos Generales'!$B$71</f>
        <v/>
      </c>
      <c r="AX8" s="50">
        <f>Onboarding!AX19*'Supuestos Generales'!$B$71</f>
        <v/>
      </c>
      <c r="AY8" s="50">
        <f>Onboarding!AY19*'Supuestos Generales'!$B$71</f>
        <v/>
      </c>
      <c r="AZ8" s="50">
        <f>Onboarding!AZ19*'Supuestos Generales'!$B$71</f>
        <v/>
      </c>
      <c r="BA8" s="50">
        <f>Onboarding!BA19*'Supuestos Generales'!$B$71</f>
        <v/>
      </c>
      <c r="BB8" s="50">
        <f>Onboarding!BB19*'Supuestos Generales'!$B$71</f>
        <v/>
      </c>
      <c r="BC8" s="50">
        <f>Onboarding!BC19*'Supuestos Generales'!$B$71</f>
        <v/>
      </c>
      <c r="BD8" s="50">
        <f>Onboarding!BD19*'Supuestos Generales'!$B$71</f>
        <v/>
      </c>
      <c r="BE8" s="50">
        <f>Onboarding!BE19*'Supuestos Generales'!$B$71</f>
        <v/>
      </c>
      <c r="BF8" s="50">
        <f>Onboarding!BF19*'Supuestos Generales'!$B$71</f>
        <v/>
      </c>
      <c r="BG8" s="50">
        <f>Onboarding!BG19*'Supuestos Generales'!$B$71</f>
        <v/>
      </c>
      <c r="BH8" s="50">
        <f>Onboarding!BH19*'Supuestos Generales'!$B$71</f>
        <v/>
      </c>
      <c r="BI8" s="50">
        <f>Onboarding!BI19*'Supuestos Generales'!$B$71</f>
        <v/>
      </c>
      <c r="BJ8" s="50">
        <f>SUM(B8:BI8)</f>
        <v/>
      </c>
    </row>
    <row r="9">
      <c r="A9" s="35" t="inlineStr">
        <is>
          <t>Soporte por restaurante activo</t>
        </is>
      </c>
      <c r="B9" s="50">
        <f>Onboarding!B12*'Supuestos Generales'!$B$72</f>
        <v/>
      </c>
      <c r="C9" s="50">
        <f>Onboarding!C12*'Supuestos Generales'!$B$72</f>
        <v/>
      </c>
      <c r="D9" s="50">
        <f>Onboarding!D12*'Supuestos Generales'!$B$72</f>
        <v/>
      </c>
      <c r="E9" s="50">
        <f>Onboarding!E12*'Supuestos Generales'!$B$72</f>
        <v/>
      </c>
      <c r="F9" s="50">
        <f>Onboarding!F12*'Supuestos Generales'!$B$72</f>
        <v/>
      </c>
      <c r="G9" s="50">
        <f>Onboarding!G12*'Supuestos Generales'!$B$72</f>
        <v/>
      </c>
      <c r="H9" s="50">
        <f>Onboarding!H12*'Supuestos Generales'!$B$72</f>
        <v/>
      </c>
      <c r="I9" s="50">
        <f>Onboarding!I12*'Supuestos Generales'!$B$72</f>
        <v/>
      </c>
      <c r="J9" s="50">
        <f>Onboarding!J12*'Supuestos Generales'!$B$72</f>
        <v/>
      </c>
      <c r="K9" s="50">
        <f>Onboarding!K12*'Supuestos Generales'!$B$72</f>
        <v/>
      </c>
      <c r="L9" s="50">
        <f>Onboarding!L12*'Supuestos Generales'!$B$72</f>
        <v/>
      </c>
      <c r="M9" s="50">
        <f>Onboarding!M12*'Supuestos Generales'!$B$72</f>
        <v/>
      </c>
      <c r="N9" s="50">
        <f>Onboarding!N12*'Supuestos Generales'!$B$72</f>
        <v/>
      </c>
      <c r="O9" s="50">
        <f>Onboarding!O12*'Supuestos Generales'!$B$72</f>
        <v/>
      </c>
      <c r="P9" s="50">
        <f>Onboarding!P12*'Supuestos Generales'!$B$72</f>
        <v/>
      </c>
      <c r="Q9" s="50">
        <f>Onboarding!Q12*'Supuestos Generales'!$B$72</f>
        <v/>
      </c>
      <c r="R9" s="50">
        <f>Onboarding!R12*'Supuestos Generales'!$B$72</f>
        <v/>
      </c>
      <c r="S9" s="50">
        <f>Onboarding!S12*'Supuestos Generales'!$B$72</f>
        <v/>
      </c>
      <c r="T9" s="50">
        <f>Onboarding!T12*'Supuestos Generales'!$B$72</f>
        <v/>
      </c>
      <c r="U9" s="50">
        <f>Onboarding!U12*'Supuestos Generales'!$B$72</f>
        <v/>
      </c>
      <c r="V9" s="50">
        <f>Onboarding!V12*'Supuestos Generales'!$B$72</f>
        <v/>
      </c>
      <c r="W9" s="50">
        <f>Onboarding!W12*'Supuestos Generales'!$B$72</f>
        <v/>
      </c>
      <c r="X9" s="50">
        <f>Onboarding!X12*'Supuestos Generales'!$B$72</f>
        <v/>
      </c>
      <c r="Y9" s="50">
        <f>Onboarding!Y12*'Supuestos Generales'!$B$72</f>
        <v/>
      </c>
      <c r="Z9" s="50">
        <f>Onboarding!Z12*'Supuestos Generales'!$B$72</f>
        <v/>
      </c>
      <c r="AA9" s="50">
        <f>Onboarding!AA12*'Supuestos Generales'!$B$72</f>
        <v/>
      </c>
      <c r="AB9" s="50">
        <f>Onboarding!AB12*'Supuestos Generales'!$B$72</f>
        <v/>
      </c>
      <c r="AC9" s="50">
        <f>Onboarding!AC12*'Supuestos Generales'!$B$72</f>
        <v/>
      </c>
      <c r="AD9" s="50">
        <f>Onboarding!AD12*'Supuestos Generales'!$B$72</f>
        <v/>
      </c>
      <c r="AE9" s="50">
        <f>Onboarding!AE12*'Supuestos Generales'!$B$72</f>
        <v/>
      </c>
      <c r="AF9" s="50">
        <f>Onboarding!AF12*'Supuestos Generales'!$B$72</f>
        <v/>
      </c>
      <c r="AG9" s="50">
        <f>Onboarding!AG12*'Supuestos Generales'!$B$72</f>
        <v/>
      </c>
      <c r="AH9" s="50">
        <f>Onboarding!AH12*'Supuestos Generales'!$B$72</f>
        <v/>
      </c>
      <c r="AI9" s="50">
        <f>Onboarding!AI12*'Supuestos Generales'!$B$72</f>
        <v/>
      </c>
      <c r="AJ9" s="50">
        <f>Onboarding!AJ12*'Supuestos Generales'!$B$72</f>
        <v/>
      </c>
      <c r="AK9" s="50">
        <f>Onboarding!AK12*'Supuestos Generales'!$B$72</f>
        <v/>
      </c>
      <c r="AL9" s="50">
        <f>Onboarding!AL12*'Supuestos Generales'!$B$72</f>
        <v/>
      </c>
      <c r="AM9" s="50">
        <f>Onboarding!AM12*'Supuestos Generales'!$B$72</f>
        <v/>
      </c>
      <c r="AN9" s="50">
        <f>Onboarding!AN12*'Supuestos Generales'!$B$72</f>
        <v/>
      </c>
      <c r="AO9" s="50">
        <f>Onboarding!AO12*'Supuestos Generales'!$B$72</f>
        <v/>
      </c>
      <c r="AP9" s="50">
        <f>Onboarding!AP12*'Supuestos Generales'!$B$72</f>
        <v/>
      </c>
      <c r="AQ9" s="50">
        <f>Onboarding!AQ12*'Supuestos Generales'!$B$72</f>
        <v/>
      </c>
      <c r="AR9" s="50">
        <f>Onboarding!AR12*'Supuestos Generales'!$B$72</f>
        <v/>
      </c>
      <c r="AS9" s="50">
        <f>Onboarding!AS12*'Supuestos Generales'!$B$72</f>
        <v/>
      </c>
      <c r="AT9" s="50">
        <f>Onboarding!AT12*'Supuestos Generales'!$B$72</f>
        <v/>
      </c>
      <c r="AU9" s="50">
        <f>Onboarding!AU12*'Supuestos Generales'!$B$72</f>
        <v/>
      </c>
      <c r="AV9" s="50">
        <f>Onboarding!AV12*'Supuestos Generales'!$B$72</f>
        <v/>
      </c>
      <c r="AW9" s="50">
        <f>Onboarding!AW12*'Supuestos Generales'!$B$72</f>
        <v/>
      </c>
      <c r="AX9" s="50">
        <f>Onboarding!AX12*'Supuestos Generales'!$B$72</f>
        <v/>
      </c>
      <c r="AY9" s="50">
        <f>Onboarding!AY12*'Supuestos Generales'!$B$72</f>
        <v/>
      </c>
      <c r="AZ9" s="50">
        <f>Onboarding!AZ12*'Supuestos Generales'!$B$72</f>
        <v/>
      </c>
      <c r="BA9" s="50">
        <f>Onboarding!BA12*'Supuestos Generales'!$B$72</f>
        <v/>
      </c>
      <c r="BB9" s="50">
        <f>Onboarding!BB12*'Supuestos Generales'!$B$72</f>
        <v/>
      </c>
      <c r="BC9" s="50">
        <f>Onboarding!BC12*'Supuestos Generales'!$B$72</f>
        <v/>
      </c>
      <c r="BD9" s="50">
        <f>Onboarding!BD12*'Supuestos Generales'!$B$72</f>
        <v/>
      </c>
      <c r="BE9" s="50">
        <f>Onboarding!BE12*'Supuestos Generales'!$B$72</f>
        <v/>
      </c>
      <c r="BF9" s="50">
        <f>Onboarding!BF12*'Supuestos Generales'!$B$72</f>
        <v/>
      </c>
      <c r="BG9" s="50">
        <f>Onboarding!BG12*'Supuestos Generales'!$B$72</f>
        <v/>
      </c>
      <c r="BH9" s="50">
        <f>Onboarding!BH12*'Supuestos Generales'!$B$72</f>
        <v/>
      </c>
      <c r="BI9" s="50">
        <f>Onboarding!BI12*'Supuestos Generales'!$B$72</f>
        <v/>
      </c>
      <c r="BJ9" s="50">
        <f>SUM(B9:BI9)</f>
        <v/>
      </c>
    </row>
    <row r="10">
      <c r="A10" s="35" t="n"/>
      <c r="B10" s="50" t="n"/>
      <c r="C10" s="50" t="n"/>
      <c r="D10" s="50" t="n"/>
      <c r="E10" s="50" t="n"/>
      <c r="F10" s="50" t="n"/>
      <c r="G10" s="50" t="n"/>
      <c r="H10" s="50" t="n"/>
      <c r="I10" s="50" t="n"/>
      <c r="J10" s="50" t="n"/>
      <c r="K10" s="50" t="n"/>
      <c r="L10" s="50" t="n"/>
      <c r="M10" s="50" t="n"/>
      <c r="N10" s="50" t="n"/>
      <c r="O10" s="50" t="n"/>
      <c r="P10" s="50" t="n"/>
      <c r="Q10" s="50" t="n"/>
      <c r="R10" s="50" t="n"/>
      <c r="S10" s="50" t="n"/>
      <c r="T10" s="50" t="n"/>
      <c r="U10" s="50" t="n"/>
      <c r="V10" s="50" t="n"/>
      <c r="W10" s="50" t="n"/>
      <c r="X10" s="50" t="n"/>
      <c r="Y10" s="50" t="n"/>
      <c r="Z10" s="50" t="n"/>
      <c r="AA10" s="50" t="n"/>
      <c r="AB10" s="50" t="n"/>
      <c r="AC10" s="50" t="n"/>
      <c r="AD10" s="50" t="n"/>
      <c r="AE10" s="50" t="n"/>
      <c r="AF10" s="50" t="n"/>
      <c r="AG10" s="50" t="n"/>
      <c r="AH10" s="50" t="n"/>
      <c r="AI10" s="50" t="n"/>
      <c r="AJ10" s="50" t="n"/>
      <c r="AK10" s="50" t="n"/>
      <c r="AL10" s="50" t="n"/>
      <c r="AM10" s="50" t="n"/>
      <c r="AN10" s="50" t="n"/>
      <c r="AO10" s="50" t="n"/>
      <c r="AP10" s="50" t="n"/>
      <c r="AQ10" s="50" t="n"/>
      <c r="AR10" s="50" t="n"/>
      <c r="AS10" s="50" t="n"/>
      <c r="AT10" s="50" t="n"/>
      <c r="AU10" s="50" t="n"/>
      <c r="AV10" s="50" t="n"/>
      <c r="AW10" s="50" t="n"/>
      <c r="AX10" s="50" t="n"/>
      <c r="AY10" s="50" t="n"/>
      <c r="AZ10" s="50" t="n"/>
      <c r="BA10" s="50" t="n"/>
      <c r="BB10" s="50" t="n"/>
      <c r="BC10" s="50" t="n"/>
      <c r="BD10" s="50" t="n"/>
      <c r="BE10" s="50" t="n"/>
      <c r="BF10" s="50" t="n"/>
      <c r="BG10" s="50" t="n"/>
      <c r="BH10" s="50" t="n"/>
      <c r="BI10" s="50" t="n"/>
      <c r="BJ10" s="50" t="n"/>
    </row>
    <row r="11">
      <c r="A11" s="22" t="inlineStr">
        <is>
          <t>COSTOS DE ENGAGEMENT Y PROMOCIÓN</t>
        </is>
      </c>
      <c r="B11" s="50" t="n"/>
      <c r="C11" s="50" t="n"/>
      <c r="D11" s="50" t="n"/>
      <c r="E11" s="50" t="n"/>
      <c r="F11" s="50" t="n"/>
      <c r="G11" s="50" t="n"/>
      <c r="H11" s="50" t="n"/>
      <c r="I11" s="50" t="n"/>
      <c r="J11" s="50" t="n"/>
      <c r="K11" s="50" t="n"/>
      <c r="L11" s="50" t="n"/>
      <c r="M11" s="50" t="n"/>
      <c r="N11" s="50" t="n"/>
      <c r="O11" s="50" t="n"/>
      <c r="P11" s="50" t="n"/>
      <c r="Q11" s="50" t="n"/>
      <c r="R11" s="50" t="n"/>
      <c r="S11" s="50" t="n"/>
      <c r="T11" s="50" t="n"/>
      <c r="U11" s="50" t="n"/>
      <c r="V11" s="50" t="n"/>
      <c r="W11" s="50" t="n"/>
      <c r="X11" s="50" t="n"/>
      <c r="Y11" s="50" t="n"/>
      <c r="Z11" s="50" t="n"/>
      <c r="AA11" s="50" t="n"/>
      <c r="AB11" s="50" t="n"/>
      <c r="AC11" s="50" t="n"/>
      <c r="AD11" s="50" t="n"/>
      <c r="AE11" s="50" t="n"/>
      <c r="AF11" s="50" t="n"/>
      <c r="AG11" s="50" t="n"/>
      <c r="AH11" s="50" t="n"/>
      <c r="AI11" s="50" t="n"/>
      <c r="AJ11" s="50" t="n"/>
      <c r="AK11" s="50" t="n"/>
      <c r="AL11" s="50" t="n"/>
      <c r="AM11" s="50" t="n"/>
      <c r="AN11" s="50" t="n"/>
      <c r="AO11" s="50" t="n"/>
      <c r="AP11" s="50" t="n"/>
      <c r="AQ11" s="50" t="n"/>
      <c r="AR11" s="50" t="n"/>
      <c r="AS11" s="50" t="n"/>
      <c r="AT11" s="50" t="n"/>
      <c r="AU11" s="50" t="n"/>
      <c r="AV11" s="50" t="n"/>
      <c r="AW11" s="50" t="n"/>
      <c r="AX11" s="50" t="n"/>
      <c r="AY11" s="50" t="n"/>
      <c r="AZ11" s="50" t="n"/>
      <c r="BA11" s="50" t="n"/>
      <c r="BB11" s="50" t="n"/>
      <c r="BC11" s="50" t="n"/>
      <c r="BD11" s="50" t="n"/>
      <c r="BE11" s="50" t="n"/>
      <c r="BF11" s="50" t="n"/>
      <c r="BG11" s="50" t="n"/>
      <c r="BH11" s="50" t="n"/>
      <c r="BI11" s="50" t="n"/>
      <c r="BJ11" s="50" t="n"/>
    </row>
    <row r="12">
      <c r="A12" s="35" t="inlineStr">
        <is>
          <t>Comunicaciones digitales por mesero activo</t>
        </is>
      </c>
      <c r="B12" s="50">
        <f>Onboarding!B19*'Supuestos Generales'!$B$77</f>
        <v/>
      </c>
      <c r="C12" s="50">
        <f>Onboarding!C19*'Supuestos Generales'!$B$77</f>
        <v/>
      </c>
      <c r="D12" s="50">
        <f>Onboarding!D19*'Supuestos Generales'!$B$77</f>
        <v/>
      </c>
      <c r="E12" s="50">
        <f>Onboarding!E19*'Supuestos Generales'!$B$77</f>
        <v/>
      </c>
      <c r="F12" s="50">
        <f>Onboarding!F19*'Supuestos Generales'!$B$77</f>
        <v/>
      </c>
      <c r="G12" s="50">
        <f>Onboarding!G19*'Supuestos Generales'!$B$77</f>
        <v/>
      </c>
      <c r="H12" s="50">
        <f>Onboarding!H19*'Supuestos Generales'!$B$77</f>
        <v/>
      </c>
      <c r="I12" s="50">
        <f>Onboarding!I19*'Supuestos Generales'!$B$77</f>
        <v/>
      </c>
      <c r="J12" s="50">
        <f>Onboarding!J19*'Supuestos Generales'!$B$77</f>
        <v/>
      </c>
      <c r="K12" s="50">
        <f>Onboarding!K19*'Supuestos Generales'!$B$77</f>
        <v/>
      </c>
      <c r="L12" s="50">
        <f>Onboarding!L19*'Supuestos Generales'!$B$77</f>
        <v/>
      </c>
      <c r="M12" s="50">
        <f>Onboarding!M19*'Supuestos Generales'!$B$77</f>
        <v/>
      </c>
      <c r="N12" s="50">
        <f>Onboarding!N19*'Supuestos Generales'!$B$77</f>
        <v/>
      </c>
      <c r="O12" s="50">
        <f>Onboarding!O19*'Supuestos Generales'!$B$77</f>
        <v/>
      </c>
      <c r="P12" s="50">
        <f>Onboarding!P19*'Supuestos Generales'!$B$77</f>
        <v/>
      </c>
      <c r="Q12" s="50">
        <f>Onboarding!Q19*'Supuestos Generales'!$B$77</f>
        <v/>
      </c>
      <c r="R12" s="50">
        <f>Onboarding!R19*'Supuestos Generales'!$B$77</f>
        <v/>
      </c>
      <c r="S12" s="50">
        <f>Onboarding!S19*'Supuestos Generales'!$B$77</f>
        <v/>
      </c>
      <c r="T12" s="50">
        <f>Onboarding!T19*'Supuestos Generales'!$B$77</f>
        <v/>
      </c>
      <c r="U12" s="50">
        <f>Onboarding!U19*'Supuestos Generales'!$B$77</f>
        <v/>
      </c>
      <c r="V12" s="50">
        <f>Onboarding!V19*'Supuestos Generales'!$B$77</f>
        <v/>
      </c>
      <c r="W12" s="50">
        <f>Onboarding!W19*'Supuestos Generales'!$B$77</f>
        <v/>
      </c>
      <c r="X12" s="50">
        <f>Onboarding!X19*'Supuestos Generales'!$B$77</f>
        <v/>
      </c>
      <c r="Y12" s="50">
        <f>Onboarding!Y19*'Supuestos Generales'!$B$77</f>
        <v/>
      </c>
      <c r="Z12" s="50">
        <f>Onboarding!Z19*'Supuestos Generales'!$B$77</f>
        <v/>
      </c>
      <c r="AA12" s="50">
        <f>Onboarding!AA19*'Supuestos Generales'!$B$77</f>
        <v/>
      </c>
      <c r="AB12" s="50">
        <f>Onboarding!AB19*'Supuestos Generales'!$B$77</f>
        <v/>
      </c>
      <c r="AC12" s="50">
        <f>Onboarding!AC19*'Supuestos Generales'!$B$77</f>
        <v/>
      </c>
      <c r="AD12" s="50">
        <f>Onboarding!AD19*'Supuestos Generales'!$B$77</f>
        <v/>
      </c>
      <c r="AE12" s="50">
        <f>Onboarding!AE19*'Supuestos Generales'!$B$77</f>
        <v/>
      </c>
      <c r="AF12" s="50">
        <f>Onboarding!AF19*'Supuestos Generales'!$B$77</f>
        <v/>
      </c>
      <c r="AG12" s="50">
        <f>Onboarding!AG19*'Supuestos Generales'!$B$77</f>
        <v/>
      </c>
      <c r="AH12" s="50">
        <f>Onboarding!AH19*'Supuestos Generales'!$B$77</f>
        <v/>
      </c>
      <c r="AI12" s="50">
        <f>Onboarding!AI19*'Supuestos Generales'!$B$77</f>
        <v/>
      </c>
      <c r="AJ12" s="50">
        <f>Onboarding!AJ19*'Supuestos Generales'!$B$77</f>
        <v/>
      </c>
      <c r="AK12" s="50">
        <f>Onboarding!AK19*'Supuestos Generales'!$B$77</f>
        <v/>
      </c>
      <c r="AL12" s="50">
        <f>Onboarding!AL19*'Supuestos Generales'!$B$77</f>
        <v/>
      </c>
      <c r="AM12" s="50">
        <f>Onboarding!AM19*'Supuestos Generales'!$B$77</f>
        <v/>
      </c>
      <c r="AN12" s="50">
        <f>Onboarding!AN19*'Supuestos Generales'!$B$77</f>
        <v/>
      </c>
      <c r="AO12" s="50">
        <f>Onboarding!AO19*'Supuestos Generales'!$B$77</f>
        <v/>
      </c>
      <c r="AP12" s="50">
        <f>Onboarding!AP19*'Supuestos Generales'!$B$77</f>
        <v/>
      </c>
      <c r="AQ12" s="50">
        <f>Onboarding!AQ19*'Supuestos Generales'!$B$77</f>
        <v/>
      </c>
      <c r="AR12" s="50">
        <f>Onboarding!AR19*'Supuestos Generales'!$B$77</f>
        <v/>
      </c>
      <c r="AS12" s="50">
        <f>Onboarding!AS19*'Supuestos Generales'!$B$77</f>
        <v/>
      </c>
      <c r="AT12" s="50">
        <f>Onboarding!AT19*'Supuestos Generales'!$B$77</f>
        <v/>
      </c>
      <c r="AU12" s="50">
        <f>Onboarding!AU19*'Supuestos Generales'!$B$77</f>
        <v/>
      </c>
      <c r="AV12" s="50">
        <f>Onboarding!AV19*'Supuestos Generales'!$B$77</f>
        <v/>
      </c>
      <c r="AW12" s="50">
        <f>Onboarding!AW19*'Supuestos Generales'!$B$77</f>
        <v/>
      </c>
      <c r="AX12" s="50">
        <f>Onboarding!AX19*'Supuestos Generales'!$B$77</f>
        <v/>
      </c>
      <c r="AY12" s="50">
        <f>Onboarding!AY19*'Supuestos Generales'!$B$77</f>
        <v/>
      </c>
      <c r="AZ12" s="50">
        <f>Onboarding!AZ19*'Supuestos Generales'!$B$77</f>
        <v/>
      </c>
      <c r="BA12" s="50">
        <f>Onboarding!BA19*'Supuestos Generales'!$B$77</f>
        <v/>
      </c>
      <c r="BB12" s="50">
        <f>Onboarding!BB19*'Supuestos Generales'!$B$77</f>
        <v/>
      </c>
      <c r="BC12" s="50">
        <f>Onboarding!BC19*'Supuestos Generales'!$B$77</f>
        <v/>
      </c>
      <c r="BD12" s="50">
        <f>Onboarding!BD19*'Supuestos Generales'!$B$77</f>
        <v/>
      </c>
      <c r="BE12" s="50">
        <f>Onboarding!BE19*'Supuestos Generales'!$B$77</f>
        <v/>
      </c>
      <c r="BF12" s="50">
        <f>Onboarding!BF19*'Supuestos Generales'!$B$77</f>
        <v/>
      </c>
      <c r="BG12" s="50">
        <f>Onboarding!BG19*'Supuestos Generales'!$B$77</f>
        <v/>
      </c>
      <c r="BH12" s="50">
        <f>Onboarding!BH19*'Supuestos Generales'!$B$77</f>
        <v/>
      </c>
      <c r="BI12" s="50">
        <f>Onboarding!BI19*'Supuestos Generales'!$B$77</f>
        <v/>
      </c>
      <c r="BJ12" s="50">
        <f>SUM(B12:BI12)</f>
        <v/>
      </c>
    </row>
    <row r="13">
      <c r="A13" s="25" t="inlineStr">
        <is>
          <t>Engagement Managers (cantidad)</t>
        </is>
      </c>
      <c r="B13" s="51">
        <f>CEILING(Onboarding!B12/'Supuestos Generales'!$B$82,1)</f>
        <v/>
      </c>
      <c r="C13" s="51">
        <f>CEILING(Onboarding!C12/'Supuestos Generales'!$B$82,1)</f>
        <v/>
      </c>
      <c r="D13" s="51">
        <f>CEILING(Onboarding!D12/'Supuestos Generales'!$B$82,1)</f>
        <v/>
      </c>
      <c r="E13" s="51">
        <f>CEILING(Onboarding!E12/'Supuestos Generales'!$B$82,1)</f>
        <v/>
      </c>
      <c r="F13" s="51">
        <f>CEILING(Onboarding!F12/'Supuestos Generales'!$B$82,1)</f>
        <v/>
      </c>
      <c r="G13" s="51">
        <f>CEILING(Onboarding!G12/'Supuestos Generales'!$B$82,1)</f>
        <v/>
      </c>
      <c r="H13" s="51">
        <f>CEILING(Onboarding!H12/'Supuestos Generales'!$B$82,1)</f>
        <v/>
      </c>
      <c r="I13" s="51">
        <f>CEILING(Onboarding!I12/'Supuestos Generales'!$B$82,1)</f>
        <v/>
      </c>
      <c r="J13" s="51">
        <f>CEILING(Onboarding!J12/'Supuestos Generales'!$B$82,1)</f>
        <v/>
      </c>
      <c r="K13" s="51">
        <f>CEILING(Onboarding!K12/'Supuestos Generales'!$B$82,1)</f>
        <v/>
      </c>
      <c r="L13" s="51">
        <f>CEILING(Onboarding!L12/'Supuestos Generales'!$B$82,1)</f>
        <v/>
      </c>
      <c r="M13" s="51">
        <f>CEILING(Onboarding!M12/'Supuestos Generales'!$B$82,1)</f>
        <v/>
      </c>
      <c r="N13" s="51">
        <f>CEILING(Onboarding!N12/'Supuestos Generales'!$B$82,1)</f>
        <v/>
      </c>
      <c r="O13" s="51">
        <f>CEILING(Onboarding!O12/'Supuestos Generales'!$B$82,1)</f>
        <v/>
      </c>
      <c r="P13" s="51">
        <f>CEILING(Onboarding!P12/'Supuestos Generales'!$B$82,1)</f>
        <v/>
      </c>
      <c r="Q13" s="51">
        <f>CEILING(Onboarding!Q12/'Supuestos Generales'!$B$82,1)</f>
        <v/>
      </c>
      <c r="R13" s="51">
        <f>CEILING(Onboarding!R12/'Supuestos Generales'!$B$82,1)</f>
        <v/>
      </c>
      <c r="S13" s="51">
        <f>CEILING(Onboarding!S12/'Supuestos Generales'!$B$82,1)</f>
        <v/>
      </c>
      <c r="T13" s="51">
        <f>CEILING(Onboarding!T12/'Supuestos Generales'!$B$82,1)</f>
        <v/>
      </c>
      <c r="U13" s="51">
        <f>CEILING(Onboarding!U12/'Supuestos Generales'!$B$82,1)</f>
        <v/>
      </c>
      <c r="V13" s="51">
        <f>CEILING(Onboarding!V12/'Supuestos Generales'!$B$82,1)</f>
        <v/>
      </c>
      <c r="W13" s="51">
        <f>CEILING(Onboarding!W12/'Supuestos Generales'!$B$82,1)</f>
        <v/>
      </c>
      <c r="X13" s="51">
        <f>CEILING(Onboarding!X12/'Supuestos Generales'!$B$82,1)</f>
        <v/>
      </c>
      <c r="Y13" s="51">
        <f>CEILING(Onboarding!Y12/'Supuestos Generales'!$B$82,1)</f>
        <v/>
      </c>
      <c r="Z13" s="51">
        <f>CEILING(Onboarding!Z12/'Supuestos Generales'!$B$82,1)</f>
        <v/>
      </c>
      <c r="AA13" s="51">
        <f>CEILING(Onboarding!AA12/'Supuestos Generales'!$B$82,1)</f>
        <v/>
      </c>
      <c r="AB13" s="51">
        <f>CEILING(Onboarding!AB12/'Supuestos Generales'!$B$82,1)</f>
        <v/>
      </c>
      <c r="AC13" s="51">
        <f>CEILING(Onboarding!AC12/'Supuestos Generales'!$B$82,1)</f>
        <v/>
      </c>
      <c r="AD13" s="51">
        <f>CEILING(Onboarding!AD12/'Supuestos Generales'!$B$82,1)</f>
        <v/>
      </c>
      <c r="AE13" s="51">
        <f>CEILING(Onboarding!AE12/'Supuestos Generales'!$B$82,1)</f>
        <v/>
      </c>
      <c r="AF13" s="51">
        <f>CEILING(Onboarding!AF12/'Supuestos Generales'!$B$82,1)</f>
        <v/>
      </c>
      <c r="AG13" s="51">
        <f>CEILING(Onboarding!AG12/'Supuestos Generales'!$B$82,1)</f>
        <v/>
      </c>
      <c r="AH13" s="51">
        <f>CEILING(Onboarding!AH12/'Supuestos Generales'!$B$82,1)</f>
        <v/>
      </c>
      <c r="AI13" s="51">
        <f>CEILING(Onboarding!AI12/'Supuestos Generales'!$B$82,1)</f>
        <v/>
      </c>
      <c r="AJ13" s="51">
        <f>CEILING(Onboarding!AJ12/'Supuestos Generales'!$B$82,1)</f>
        <v/>
      </c>
      <c r="AK13" s="51">
        <f>CEILING(Onboarding!AK12/'Supuestos Generales'!$B$82,1)</f>
        <v/>
      </c>
      <c r="AL13" s="51">
        <f>CEILING(Onboarding!AL12/'Supuestos Generales'!$B$82,1)</f>
        <v/>
      </c>
      <c r="AM13" s="51">
        <f>CEILING(Onboarding!AM12/'Supuestos Generales'!$B$82,1)</f>
        <v/>
      </c>
      <c r="AN13" s="51">
        <f>CEILING(Onboarding!AN12/'Supuestos Generales'!$B$82,1)</f>
        <v/>
      </c>
      <c r="AO13" s="51">
        <f>CEILING(Onboarding!AO12/'Supuestos Generales'!$B$82,1)</f>
        <v/>
      </c>
      <c r="AP13" s="51">
        <f>CEILING(Onboarding!AP12/'Supuestos Generales'!$B$82,1)</f>
        <v/>
      </c>
      <c r="AQ13" s="51">
        <f>CEILING(Onboarding!AQ12/'Supuestos Generales'!$B$82,1)</f>
        <v/>
      </c>
      <c r="AR13" s="51">
        <f>CEILING(Onboarding!AR12/'Supuestos Generales'!$B$82,1)</f>
        <v/>
      </c>
      <c r="AS13" s="51">
        <f>CEILING(Onboarding!AS12/'Supuestos Generales'!$B$82,1)</f>
        <v/>
      </c>
      <c r="AT13" s="51">
        <f>CEILING(Onboarding!AT12/'Supuestos Generales'!$B$82,1)</f>
        <v/>
      </c>
      <c r="AU13" s="51">
        <f>CEILING(Onboarding!AU12/'Supuestos Generales'!$B$82,1)</f>
        <v/>
      </c>
      <c r="AV13" s="51">
        <f>CEILING(Onboarding!AV12/'Supuestos Generales'!$B$82,1)</f>
        <v/>
      </c>
      <c r="AW13" s="51">
        <f>CEILING(Onboarding!AW12/'Supuestos Generales'!$B$82,1)</f>
        <v/>
      </c>
      <c r="AX13" s="51">
        <f>CEILING(Onboarding!AX12/'Supuestos Generales'!$B$82,1)</f>
        <v/>
      </c>
      <c r="AY13" s="51">
        <f>CEILING(Onboarding!AY12/'Supuestos Generales'!$B$82,1)</f>
        <v/>
      </c>
      <c r="AZ13" s="51">
        <f>CEILING(Onboarding!AZ12/'Supuestos Generales'!$B$82,1)</f>
        <v/>
      </c>
      <c r="BA13" s="51">
        <f>CEILING(Onboarding!BA12/'Supuestos Generales'!$B$82,1)</f>
        <v/>
      </c>
      <c r="BB13" s="51">
        <f>CEILING(Onboarding!BB12/'Supuestos Generales'!$B$82,1)</f>
        <v/>
      </c>
      <c r="BC13" s="51">
        <f>CEILING(Onboarding!BC12/'Supuestos Generales'!$B$82,1)</f>
        <v/>
      </c>
      <c r="BD13" s="51">
        <f>CEILING(Onboarding!BD12/'Supuestos Generales'!$B$82,1)</f>
        <v/>
      </c>
      <c r="BE13" s="51">
        <f>CEILING(Onboarding!BE12/'Supuestos Generales'!$B$82,1)</f>
        <v/>
      </c>
      <c r="BF13" s="51">
        <f>CEILING(Onboarding!BF12/'Supuestos Generales'!$B$82,1)</f>
        <v/>
      </c>
      <c r="BG13" s="51">
        <f>CEILING(Onboarding!BG12/'Supuestos Generales'!$B$82,1)</f>
        <v/>
      </c>
      <c r="BH13" s="51">
        <f>CEILING(Onboarding!BH12/'Supuestos Generales'!$B$82,1)</f>
        <v/>
      </c>
      <c r="BI13" s="51">
        <f>CEILING(Onboarding!BI12/'Supuestos Generales'!$B$82,1)</f>
        <v/>
      </c>
      <c r="BJ13" s="50" t="n"/>
    </row>
    <row r="14">
      <c r="A14" s="35" t="inlineStr">
        <is>
          <t>Costo Engagement Managers</t>
        </is>
      </c>
      <c r="B14" s="50">
        <f>B13*'Supuestos Generales'!$B$81</f>
        <v/>
      </c>
      <c r="C14" s="50">
        <f>C13*'Supuestos Generales'!$B$81</f>
        <v/>
      </c>
      <c r="D14" s="50">
        <f>D13*'Supuestos Generales'!$B$81</f>
        <v/>
      </c>
      <c r="E14" s="50">
        <f>E13*'Supuestos Generales'!$B$81</f>
        <v/>
      </c>
      <c r="F14" s="50">
        <f>F13*'Supuestos Generales'!$B$81</f>
        <v/>
      </c>
      <c r="G14" s="50">
        <f>G13*'Supuestos Generales'!$B$81</f>
        <v/>
      </c>
      <c r="H14" s="50">
        <f>H13*'Supuestos Generales'!$B$81</f>
        <v/>
      </c>
      <c r="I14" s="50">
        <f>I13*'Supuestos Generales'!$B$81</f>
        <v/>
      </c>
      <c r="J14" s="50">
        <f>J13*'Supuestos Generales'!$B$81</f>
        <v/>
      </c>
      <c r="K14" s="50">
        <f>K13*'Supuestos Generales'!$B$81</f>
        <v/>
      </c>
      <c r="L14" s="50">
        <f>L13*'Supuestos Generales'!$B$81</f>
        <v/>
      </c>
      <c r="M14" s="50">
        <f>M13*'Supuestos Generales'!$B$81</f>
        <v/>
      </c>
      <c r="N14" s="50">
        <f>N13*'Supuestos Generales'!$B$81</f>
        <v/>
      </c>
      <c r="O14" s="50">
        <f>O13*'Supuestos Generales'!$B$81</f>
        <v/>
      </c>
      <c r="P14" s="50">
        <f>P13*'Supuestos Generales'!$B$81</f>
        <v/>
      </c>
      <c r="Q14" s="50">
        <f>Q13*'Supuestos Generales'!$B$81</f>
        <v/>
      </c>
      <c r="R14" s="50">
        <f>R13*'Supuestos Generales'!$B$81</f>
        <v/>
      </c>
      <c r="S14" s="50">
        <f>S13*'Supuestos Generales'!$B$81</f>
        <v/>
      </c>
      <c r="T14" s="50">
        <f>T13*'Supuestos Generales'!$B$81</f>
        <v/>
      </c>
      <c r="U14" s="50">
        <f>U13*'Supuestos Generales'!$B$81</f>
        <v/>
      </c>
      <c r="V14" s="50">
        <f>V13*'Supuestos Generales'!$B$81</f>
        <v/>
      </c>
      <c r="W14" s="50">
        <f>W13*'Supuestos Generales'!$B$81</f>
        <v/>
      </c>
      <c r="X14" s="50">
        <f>X13*'Supuestos Generales'!$B$81</f>
        <v/>
      </c>
      <c r="Y14" s="50">
        <f>Y13*'Supuestos Generales'!$B$81</f>
        <v/>
      </c>
      <c r="Z14" s="50">
        <f>Z13*'Supuestos Generales'!$B$81</f>
        <v/>
      </c>
      <c r="AA14" s="50">
        <f>AA13*'Supuestos Generales'!$B$81</f>
        <v/>
      </c>
      <c r="AB14" s="50">
        <f>AB13*'Supuestos Generales'!$B$81</f>
        <v/>
      </c>
      <c r="AC14" s="50">
        <f>AC13*'Supuestos Generales'!$B$81</f>
        <v/>
      </c>
      <c r="AD14" s="50">
        <f>AD13*'Supuestos Generales'!$B$81</f>
        <v/>
      </c>
      <c r="AE14" s="50">
        <f>AE13*'Supuestos Generales'!$B$81</f>
        <v/>
      </c>
      <c r="AF14" s="50">
        <f>AF13*'Supuestos Generales'!$B$81</f>
        <v/>
      </c>
      <c r="AG14" s="50">
        <f>AG13*'Supuestos Generales'!$B$81</f>
        <v/>
      </c>
      <c r="AH14" s="50">
        <f>AH13*'Supuestos Generales'!$B$81</f>
        <v/>
      </c>
      <c r="AI14" s="50">
        <f>AI13*'Supuestos Generales'!$B$81</f>
        <v/>
      </c>
      <c r="AJ14" s="50">
        <f>AJ13*'Supuestos Generales'!$B$81</f>
        <v/>
      </c>
      <c r="AK14" s="50">
        <f>AK13*'Supuestos Generales'!$B$81</f>
        <v/>
      </c>
      <c r="AL14" s="50">
        <f>AL13*'Supuestos Generales'!$B$81</f>
        <v/>
      </c>
      <c r="AM14" s="50">
        <f>AM13*'Supuestos Generales'!$B$81</f>
        <v/>
      </c>
      <c r="AN14" s="50">
        <f>AN13*'Supuestos Generales'!$B$81</f>
        <v/>
      </c>
      <c r="AO14" s="50">
        <f>AO13*'Supuestos Generales'!$B$81</f>
        <v/>
      </c>
      <c r="AP14" s="50">
        <f>AP13*'Supuestos Generales'!$B$81</f>
        <v/>
      </c>
      <c r="AQ14" s="50">
        <f>AQ13*'Supuestos Generales'!$B$81</f>
        <v/>
      </c>
      <c r="AR14" s="50">
        <f>AR13*'Supuestos Generales'!$B$81</f>
        <v/>
      </c>
      <c r="AS14" s="50">
        <f>AS13*'Supuestos Generales'!$B$81</f>
        <v/>
      </c>
      <c r="AT14" s="50">
        <f>AT13*'Supuestos Generales'!$B$81</f>
        <v/>
      </c>
      <c r="AU14" s="50">
        <f>AU13*'Supuestos Generales'!$B$81</f>
        <v/>
      </c>
      <c r="AV14" s="50">
        <f>AV13*'Supuestos Generales'!$B$81</f>
        <v/>
      </c>
      <c r="AW14" s="50">
        <f>AW13*'Supuestos Generales'!$B$81</f>
        <v/>
      </c>
      <c r="AX14" s="50">
        <f>AX13*'Supuestos Generales'!$B$81</f>
        <v/>
      </c>
      <c r="AY14" s="50">
        <f>AY13*'Supuestos Generales'!$B$81</f>
        <v/>
      </c>
      <c r="AZ14" s="50">
        <f>AZ13*'Supuestos Generales'!$B$81</f>
        <v/>
      </c>
      <c r="BA14" s="50">
        <f>BA13*'Supuestos Generales'!$B$81</f>
        <v/>
      </c>
      <c r="BB14" s="50">
        <f>BB13*'Supuestos Generales'!$B$81</f>
        <v/>
      </c>
      <c r="BC14" s="50">
        <f>BC13*'Supuestos Generales'!$B$81</f>
        <v/>
      </c>
      <c r="BD14" s="50">
        <f>BD13*'Supuestos Generales'!$B$81</f>
        <v/>
      </c>
      <c r="BE14" s="50">
        <f>BE13*'Supuestos Generales'!$B$81</f>
        <v/>
      </c>
      <c r="BF14" s="50">
        <f>BF13*'Supuestos Generales'!$B$81</f>
        <v/>
      </c>
      <c r="BG14" s="50">
        <f>BG13*'Supuestos Generales'!$B$81</f>
        <v/>
      </c>
      <c r="BH14" s="50">
        <f>BH13*'Supuestos Generales'!$B$81</f>
        <v/>
      </c>
      <c r="BI14" s="50">
        <f>BI13*'Supuestos Generales'!$B$81</f>
        <v/>
      </c>
      <c r="BJ14" s="50">
        <f>SUM(B14:BI14)</f>
        <v/>
      </c>
    </row>
    <row r="15">
      <c r="A15" s="25" t="inlineStr">
        <is>
          <t>Agentes de Customer Success (cantidad)</t>
        </is>
      </c>
      <c r="B15" s="83">
        <f>CEILING(Onboarding!B12/'Supuestos Generales'!$B$73,1)</f>
        <v/>
      </c>
      <c r="C15" s="83">
        <f>CEILING(Onboarding!C12/'Supuestos Generales'!$B$73,1)</f>
        <v/>
      </c>
      <c r="D15" s="83">
        <f>CEILING(Onboarding!D12/'Supuestos Generales'!$B$73,1)</f>
        <v/>
      </c>
      <c r="E15" s="83">
        <f>CEILING(Onboarding!E12/'Supuestos Generales'!$B$73,1)</f>
        <v/>
      </c>
      <c r="F15" s="83">
        <f>CEILING(Onboarding!F12/'Supuestos Generales'!$B$73,1)</f>
        <v/>
      </c>
      <c r="G15" s="83">
        <f>CEILING(Onboarding!G12/'Supuestos Generales'!$B$73,1)</f>
        <v/>
      </c>
      <c r="H15" s="83">
        <f>CEILING(Onboarding!H12/'Supuestos Generales'!$B$73,1)</f>
        <v/>
      </c>
      <c r="I15" s="83">
        <f>CEILING(Onboarding!I12/'Supuestos Generales'!$B$73,1)</f>
        <v/>
      </c>
      <c r="J15" s="83">
        <f>CEILING(Onboarding!J12/'Supuestos Generales'!$B$73,1)</f>
        <v/>
      </c>
      <c r="K15" s="83">
        <f>CEILING(Onboarding!K12/'Supuestos Generales'!$B$73,1)</f>
        <v/>
      </c>
      <c r="L15" s="83">
        <f>CEILING(Onboarding!L12/'Supuestos Generales'!$B$73,1)</f>
        <v/>
      </c>
      <c r="M15" s="83">
        <f>CEILING(Onboarding!M12/'Supuestos Generales'!$B$73,1)</f>
        <v/>
      </c>
      <c r="N15" s="83">
        <f>CEILING(Onboarding!N12/'Supuestos Generales'!$B$73,1)</f>
        <v/>
      </c>
      <c r="O15" s="83">
        <f>CEILING(Onboarding!O12/'Supuestos Generales'!$B$73,1)</f>
        <v/>
      </c>
      <c r="P15" s="83">
        <f>CEILING(Onboarding!P12/'Supuestos Generales'!$B$73,1)</f>
        <v/>
      </c>
      <c r="Q15" s="83">
        <f>CEILING(Onboarding!Q12/'Supuestos Generales'!$B$73,1)</f>
        <v/>
      </c>
      <c r="R15" s="83">
        <f>CEILING(Onboarding!R12/'Supuestos Generales'!$B$73,1)</f>
        <v/>
      </c>
      <c r="S15" s="83">
        <f>CEILING(Onboarding!S12/'Supuestos Generales'!$B$73,1)</f>
        <v/>
      </c>
      <c r="T15" s="83">
        <f>CEILING(Onboarding!T12/'Supuestos Generales'!$B$73,1)</f>
        <v/>
      </c>
      <c r="U15" s="83">
        <f>CEILING(Onboarding!U12/'Supuestos Generales'!$B$73,1)</f>
        <v/>
      </c>
      <c r="V15" s="83">
        <f>CEILING(Onboarding!V12/'Supuestos Generales'!$B$73,1)</f>
        <v/>
      </c>
      <c r="W15" s="83">
        <f>CEILING(Onboarding!W12/'Supuestos Generales'!$B$73,1)</f>
        <v/>
      </c>
      <c r="X15" s="83">
        <f>CEILING(Onboarding!X12/'Supuestos Generales'!$B$73,1)</f>
        <v/>
      </c>
      <c r="Y15" s="83">
        <f>CEILING(Onboarding!Y12/'Supuestos Generales'!$B$73,1)</f>
        <v/>
      </c>
      <c r="Z15" s="83">
        <f>CEILING(Onboarding!Z12/'Supuestos Generales'!$B$73,1)</f>
        <v/>
      </c>
      <c r="AA15" s="83">
        <f>CEILING(Onboarding!AA12/'Supuestos Generales'!$B$73,1)</f>
        <v/>
      </c>
      <c r="AB15" s="83">
        <f>CEILING(Onboarding!AB12/'Supuestos Generales'!$B$73,1)</f>
        <v/>
      </c>
      <c r="AC15" s="83">
        <f>CEILING(Onboarding!AC12/'Supuestos Generales'!$B$73,1)</f>
        <v/>
      </c>
      <c r="AD15" s="83">
        <f>CEILING(Onboarding!AD12/'Supuestos Generales'!$B$73,1)</f>
        <v/>
      </c>
      <c r="AE15" s="83">
        <f>CEILING(Onboarding!AE12/'Supuestos Generales'!$B$73,1)</f>
        <v/>
      </c>
      <c r="AF15" s="83">
        <f>CEILING(Onboarding!AF12/'Supuestos Generales'!$B$73,1)</f>
        <v/>
      </c>
      <c r="AG15" s="83">
        <f>CEILING(Onboarding!AG12/'Supuestos Generales'!$B$73,1)</f>
        <v/>
      </c>
      <c r="AH15" s="83">
        <f>CEILING(Onboarding!AH12/'Supuestos Generales'!$B$73,1)</f>
        <v/>
      </c>
      <c r="AI15" s="83">
        <f>CEILING(Onboarding!AI12/'Supuestos Generales'!$B$73,1)</f>
        <v/>
      </c>
      <c r="AJ15" s="83">
        <f>CEILING(Onboarding!AJ12/'Supuestos Generales'!$B$73,1)</f>
        <v/>
      </c>
      <c r="AK15" s="83">
        <f>CEILING(Onboarding!AK12/'Supuestos Generales'!$B$73,1)</f>
        <v/>
      </c>
      <c r="AL15" s="83">
        <f>CEILING(Onboarding!AL12/'Supuestos Generales'!$B$73,1)</f>
        <v/>
      </c>
      <c r="AM15" s="83">
        <f>CEILING(Onboarding!AM12/'Supuestos Generales'!$B$73,1)</f>
        <v/>
      </c>
      <c r="AN15" s="83">
        <f>CEILING(Onboarding!AN12/'Supuestos Generales'!$B$73,1)</f>
        <v/>
      </c>
      <c r="AO15" s="83">
        <f>CEILING(Onboarding!AO12/'Supuestos Generales'!$B$73,1)</f>
        <v/>
      </c>
      <c r="AP15" s="83">
        <f>CEILING(Onboarding!AP12/'Supuestos Generales'!$B$73,1)</f>
        <v/>
      </c>
      <c r="AQ15" s="83">
        <f>CEILING(Onboarding!AQ12/'Supuestos Generales'!$B$73,1)</f>
        <v/>
      </c>
      <c r="AR15" s="83">
        <f>CEILING(Onboarding!AR12/'Supuestos Generales'!$B$73,1)</f>
        <v/>
      </c>
      <c r="AS15" s="83">
        <f>CEILING(Onboarding!AS12/'Supuestos Generales'!$B$73,1)</f>
        <v/>
      </c>
      <c r="AT15" s="83">
        <f>CEILING(Onboarding!AT12/'Supuestos Generales'!$B$73,1)</f>
        <v/>
      </c>
      <c r="AU15" s="83">
        <f>CEILING(Onboarding!AU12/'Supuestos Generales'!$B$73,1)</f>
        <v/>
      </c>
      <c r="AV15" s="83">
        <f>CEILING(Onboarding!AV12/'Supuestos Generales'!$B$73,1)</f>
        <v/>
      </c>
      <c r="AW15" s="83">
        <f>CEILING(Onboarding!AW12/'Supuestos Generales'!$B$73,1)</f>
        <v/>
      </c>
      <c r="AX15" s="83">
        <f>CEILING(Onboarding!AX12/'Supuestos Generales'!$B$73,1)</f>
        <v/>
      </c>
      <c r="AY15" s="83">
        <f>CEILING(Onboarding!AY12/'Supuestos Generales'!$B$73,1)</f>
        <v/>
      </c>
      <c r="AZ15" s="83">
        <f>CEILING(Onboarding!AZ12/'Supuestos Generales'!$B$73,1)</f>
        <v/>
      </c>
      <c r="BA15" s="83">
        <f>CEILING(Onboarding!BA12/'Supuestos Generales'!$B$73,1)</f>
        <v/>
      </c>
      <c r="BB15" s="83">
        <f>CEILING(Onboarding!BB12/'Supuestos Generales'!$B$73,1)</f>
        <v/>
      </c>
      <c r="BC15" s="83">
        <f>CEILING(Onboarding!BC12/'Supuestos Generales'!$B$73,1)</f>
        <v/>
      </c>
      <c r="BD15" s="83">
        <f>CEILING(Onboarding!BD12/'Supuestos Generales'!$B$73,1)</f>
        <v/>
      </c>
      <c r="BE15" s="83">
        <f>CEILING(Onboarding!BE12/'Supuestos Generales'!$B$73,1)</f>
        <v/>
      </c>
      <c r="BF15" s="83">
        <f>CEILING(Onboarding!BF12/'Supuestos Generales'!$B$73,1)</f>
        <v/>
      </c>
      <c r="BG15" s="83">
        <f>CEILING(Onboarding!BG12/'Supuestos Generales'!$B$73,1)</f>
        <v/>
      </c>
      <c r="BH15" s="83">
        <f>CEILING(Onboarding!BH12/'Supuestos Generales'!$B$73,1)</f>
        <v/>
      </c>
      <c r="BI15" s="83">
        <f>CEILING(Onboarding!BI12/'Supuestos Generales'!$B$73,1)</f>
        <v/>
      </c>
      <c r="BJ15" s="50" t="n"/>
    </row>
    <row r="16">
      <c r="A16" s="35" t="inlineStr">
        <is>
          <t>Costo Agentes CS</t>
        </is>
      </c>
      <c r="B16" s="84">
        <f>B15*'Supuestos Generales'!$B$74</f>
        <v/>
      </c>
      <c r="C16" s="84">
        <f>C15*'Supuestos Generales'!$B$74</f>
        <v/>
      </c>
      <c r="D16" s="84">
        <f>D15*'Supuestos Generales'!$B$74</f>
        <v/>
      </c>
      <c r="E16" s="84">
        <f>E15*'Supuestos Generales'!$B$74</f>
        <v/>
      </c>
      <c r="F16" s="84">
        <f>F15*'Supuestos Generales'!$B$74</f>
        <v/>
      </c>
      <c r="G16" s="84">
        <f>G15*'Supuestos Generales'!$B$74</f>
        <v/>
      </c>
      <c r="H16" s="84">
        <f>H15*'Supuestos Generales'!$B$74</f>
        <v/>
      </c>
      <c r="I16" s="84">
        <f>I15*'Supuestos Generales'!$B$74</f>
        <v/>
      </c>
      <c r="J16" s="84">
        <f>J15*'Supuestos Generales'!$B$74</f>
        <v/>
      </c>
      <c r="K16" s="84">
        <f>K15*'Supuestos Generales'!$B$74</f>
        <v/>
      </c>
      <c r="L16" s="84">
        <f>L15*'Supuestos Generales'!$B$74</f>
        <v/>
      </c>
      <c r="M16" s="84">
        <f>M15*'Supuestos Generales'!$B$74</f>
        <v/>
      </c>
      <c r="N16" s="84">
        <f>N15*'Supuestos Generales'!$B$74</f>
        <v/>
      </c>
      <c r="O16" s="84">
        <f>O15*'Supuestos Generales'!$B$74</f>
        <v/>
      </c>
      <c r="P16" s="84">
        <f>P15*'Supuestos Generales'!$B$74</f>
        <v/>
      </c>
      <c r="Q16" s="84">
        <f>Q15*'Supuestos Generales'!$B$74</f>
        <v/>
      </c>
      <c r="R16" s="84">
        <f>R15*'Supuestos Generales'!$B$74</f>
        <v/>
      </c>
      <c r="S16" s="84">
        <f>S15*'Supuestos Generales'!$B$74</f>
        <v/>
      </c>
      <c r="T16" s="84">
        <f>T15*'Supuestos Generales'!$B$74</f>
        <v/>
      </c>
      <c r="U16" s="84">
        <f>U15*'Supuestos Generales'!$B$74</f>
        <v/>
      </c>
      <c r="V16" s="84">
        <f>V15*'Supuestos Generales'!$B$74</f>
        <v/>
      </c>
      <c r="W16" s="84">
        <f>W15*'Supuestos Generales'!$B$74</f>
        <v/>
      </c>
      <c r="X16" s="84">
        <f>X15*'Supuestos Generales'!$B$74</f>
        <v/>
      </c>
      <c r="Y16" s="84">
        <f>Y15*'Supuestos Generales'!$B$74</f>
        <v/>
      </c>
      <c r="Z16" s="84">
        <f>Z15*'Supuestos Generales'!$B$74</f>
        <v/>
      </c>
      <c r="AA16" s="84">
        <f>AA15*'Supuestos Generales'!$B$74</f>
        <v/>
      </c>
      <c r="AB16" s="84">
        <f>AB15*'Supuestos Generales'!$B$74</f>
        <v/>
      </c>
      <c r="AC16" s="84">
        <f>AC15*'Supuestos Generales'!$B$74</f>
        <v/>
      </c>
      <c r="AD16" s="84">
        <f>AD15*'Supuestos Generales'!$B$74</f>
        <v/>
      </c>
      <c r="AE16" s="84">
        <f>AE15*'Supuestos Generales'!$B$74</f>
        <v/>
      </c>
      <c r="AF16" s="84">
        <f>AF15*'Supuestos Generales'!$B$74</f>
        <v/>
      </c>
      <c r="AG16" s="84">
        <f>AG15*'Supuestos Generales'!$B$74</f>
        <v/>
      </c>
      <c r="AH16" s="84">
        <f>AH15*'Supuestos Generales'!$B$74</f>
        <v/>
      </c>
      <c r="AI16" s="84">
        <f>AI15*'Supuestos Generales'!$B$74</f>
        <v/>
      </c>
      <c r="AJ16" s="84">
        <f>AJ15*'Supuestos Generales'!$B$74</f>
        <v/>
      </c>
      <c r="AK16" s="84">
        <f>AK15*'Supuestos Generales'!$B$74</f>
        <v/>
      </c>
      <c r="AL16" s="84">
        <f>AL15*'Supuestos Generales'!$B$74</f>
        <v/>
      </c>
      <c r="AM16" s="84">
        <f>AM15*'Supuestos Generales'!$B$74</f>
        <v/>
      </c>
      <c r="AN16" s="84">
        <f>AN15*'Supuestos Generales'!$B$74</f>
        <v/>
      </c>
      <c r="AO16" s="84">
        <f>AO15*'Supuestos Generales'!$B$74</f>
        <v/>
      </c>
      <c r="AP16" s="84">
        <f>AP15*'Supuestos Generales'!$B$74</f>
        <v/>
      </c>
      <c r="AQ16" s="84">
        <f>AQ15*'Supuestos Generales'!$B$74</f>
        <v/>
      </c>
      <c r="AR16" s="84">
        <f>AR15*'Supuestos Generales'!$B$74</f>
        <v/>
      </c>
      <c r="AS16" s="84">
        <f>AS15*'Supuestos Generales'!$B$74</f>
        <v/>
      </c>
      <c r="AT16" s="84">
        <f>AT15*'Supuestos Generales'!$B$74</f>
        <v/>
      </c>
      <c r="AU16" s="84">
        <f>AU15*'Supuestos Generales'!$B$74</f>
        <v/>
      </c>
      <c r="AV16" s="84">
        <f>AV15*'Supuestos Generales'!$B$74</f>
        <v/>
      </c>
      <c r="AW16" s="84">
        <f>AW15*'Supuestos Generales'!$B$74</f>
        <v/>
      </c>
      <c r="AX16" s="84">
        <f>AX15*'Supuestos Generales'!$B$74</f>
        <v/>
      </c>
      <c r="AY16" s="84">
        <f>AY15*'Supuestos Generales'!$B$74</f>
        <v/>
      </c>
      <c r="AZ16" s="84">
        <f>AZ15*'Supuestos Generales'!$B$74</f>
        <v/>
      </c>
      <c r="BA16" s="84">
        <f>BA15*'Supuestos Generales'!$B$74</f>
        <v/>
      </c>
      <c r="BB16" s="84">
        <f>BB15*'Supuestos Generales'!$B$74</f>
        <v/>
      </c>
      <c r="BC16" s="84">
        <f>BC15*'Supuestos Generales'!$B$74</f>
        <v/>
      </c>
      <c r="BD16" s="84">
        <f>BD15*'Supuestos Generales'!$B$74</f>
        <v/>
      </c>
      <c r="BE16" s="84">
        <f>BE15*'Supuestos Generales'!$B$74</f>
        <v/>
      </c>
      <c r="BF16" s="84">
        <f>BF15*'Supuestos Generales'!$B$74</f>
        <v/>
      </c>
      <c r="BG16" s="84">
        <f>BG15*'Supuestos Generales'!$B$74</f>
        <v/>
      </c>
      <c r="BH16" s="84">
        <f>BH15*'Supuestos Generales'!$B$74</f>
        <v/>
      </c>
      <c r="BI16" s="84">
        <f>BI15*'Supuestos Generales'!$B$74</f>
        <v/>
      </c>
      <c r="BJ16" s="50">
        <f>SUM(B16:BI16)</f>
        <v/>
      </c>
    </row>
    <row r="17">
      <c r="A17" s="35" t="inlineStr">
        <is>
          <t>Gala Anual Super Meseros (mensualizado)</t>
        </is>
      </c>
      <c r="B17" s="50">
        <f>'Supuestos Generales'!$B$85*(1.1^MAX(0,CEILING(B$3/12,1)-1))</f>
        <v/>
      </c>
      <c r="C17" s="50">
        <f>'Supuestos Generales'!$B$85*(1.1^MAX(0,CEILING(C$3/12,1)-1))</f>
        <v/>
      </c>
      <c r="D17" s="50">
        <f>'Supuestos Generales'!$B$85*(1.1^MAX(0,CEILING(D$3/12,1)-1))</f>
        <v/>
      </c>
      <c r="E17" s="50">
        <f>'Supuestos Generales'!$B$85*(1.1^MAX(0,CEILING(E$3/12,1)-1))</f>
        <v/>
      </c>
      <c r="F17" s="50">
        <f>'Supuestos Generales'!$B$85*(1.1^MAX(0,CEILING(F$3/12,1)-1))</f>
        <v/>
      </c>
      <c r="G17" s="50">
        <f>'Supuestos Generales'!$B$85*(1.1^MAX(0,CEILING(G$3/12,1)-1))</f>
        <v/>
      </c>
      <c r="H17" s="50">
        <f>'Supuestos Generales'!$B$85*(1.1^MAX(0,CEILING(H$3/12,1)-1))</f>
        <v/>
      </c>
      <c r="I17" s="50">
        <f>'Supuestos Generales'!$B$85*(1.1^MAX(0,CEILING(I$3/12,1)-1))</f>
        <v/>
      </c>
      <c r="J17" s="50">
        <f>'Supuestos Generales'!$B$85*(1.1^MAX(0,CEILING(J$3/12,1)-1))</f>
        <v/>
      </c>
      <c r="K17" s="50">
        <f>'Supuestos Generales'!$B$85*(1.1^MAX(0,CEILING(K$3/12,1)-1))</f>
        <v/>
      </c>
      <c r="L17" s="50">
        <f>'Supuestos Generales'!$B$85*(1.1^MAX(0,CEILING(L$3/12,1)-1))</f>
        <v/>
      </c>
      <c r="M17" s="50">
        <f>'Supuestos Generales'!$B$85*(1.1^MAX(0,CEILING(M$3/12,1)-1))</f>
        <v/>
      </c>
      <c r="N17" s="50">
        <f>'Supuestos Generales'!$B$85*(1.1^MAX(0,CEILING(N$3/12,1)-1))</f>
        <v/>
      </c>
      <c r="O17" s="50">
        <f>'Supuestos Generales'!$B$85*(1.1^MAX(0,CEILING(O$3/12,1)-1))</f>
        <v/>
      </c>
      <c r="P17" s="50">
        <f>'Supuestos Generales'!$B$85*(1.1^MAX(0,CEILING(P$3/12,1)-1))</f>
        <v/>
      </c>
      <c r="Q17" s="50">
        <f>'Supuestos Generales'!$B$85*(1.1^MAX(0,CEILING(Q$3/12,1)-1))</f>
        <v/>
      </c>
      <c r="R17" s="50">
        <f>'Supuestos Generales'!$B$85*(1.1^MAX(0,CEILING(R$3/12,1)-1))</f>
        <v/>
      </c>
      <c r="S17" s="50">
        <f>'Supuestos Generales'!$B$85*(1.1^MAX(0,CEILING(S$3/12,1)-1))</f>
        <v/>
      </c>
      <c r="T17" s="50">
        <f>'Supuestos Generales'!$B$85*(1.1^MAX(0,CEILING(T$3/12,1)-1))</f>
        <v/>
      </c>
      <c r="U17" s="50">
        <f>'Supuestos Generales'!$B$85*(1.1^MAX(0,CEILING(U$3/12,1)-1))</f>
        <v/>
      </c>
      <c r="V17" s="50">
        <f>'Supuestos Generales'!$B$85*(1.1^MAX(0,CEILING(V$3/12,1)-1))</f>
        <v/>
      </c>
      <c r="W17" s="50">
        <f>'Supuestos Generales'!$B$85*(1.1^MAX(0,CEILING(W$3/12,1)-1))</f>
        <v/>
      </c>
      <c r="X17" s="50">
        <f>'Supuestos Generales'!$B$85*(1.1^MAX(0,CEILING(X$3/12,1)-1))</f>
        <v/>
      </c>
      <c r="Y17" s="50">
        <f>'Supuestos Generales'!$B$85*(1.1^MAX(0,CEILING(Y$3/12,1)-1))</f>
        <v/>
      </c>
      <c r="Z17" s="50">
        <f>'Supuestos Generales'!$B$85*(1.1^MAX(0,CEILING(Z$3/12,1)-1))</f>
        <v/>
      </c>
      <c r="AA17" s="50">
        <f>'Supuestos Generales'!$B$85*(1.1^MAX(0,CEILING(AA$3/12,1)-1))</f>
        <v/>
      </c>
      <c r="AB17" s="50">
        <f>'Supuestos Generales'!$B$85*(1.1^MAX(0,CEILING(AB$3/12,1)-1))</f>
        <v/>
      </c>
      <c r="AC17" s="50">
        <f>'Supuestos Generales'!$B$85*(1.1^MAX(0,CEILING(AC$3/12,1)-1))</f>
        <v/>
      </c>
      <c r="AD17" s="50">
        <f>'Supuestos Generales'!$B$85*(1.1^MAX(0,CEILING(AD$3/12,1)-1))</f>
        <v/>
      </c>
      <c r="AE17" s="50">
        <f>'Supuestos Generales'!$B$85*(1.1^MAX(0,CEILING(AE$3/12,1)-1))</f>
        <v/>
      </c>
      <c r="AF17" s="50">
        <f>'Supuestos Generales'!$B$85*(1.1^MAX(0,CEILING(AF$3/12,1)-1))</f>
        <v/>
      </c>
      <c r="AG17" s="50">
        <f>'Supuestos Generales'!$B$85*(1.1^MAX(0,CEILING(AG$3/12,1)-1))</f>
        <v/>
      </c>
      <c r="AH17" s="50">
        <f>'Supuestos Generales'!$B$85*(1.1^MAX(0,CEILING(AH$3/12,1)-1))</f>
        <v/>
      </c>
      <c r="AI17" s="50">
        <f>'Supuestos Generales'!$B$85*(1.1^MAX(0,CEILING(AI$3/12,1)-1))</f>
        <v/>
      </c>
      <c r="AJ17" s="50">
        <f>'Supuestos Generales'!$B$85*(1.1^MAX(0,CEILING(AJ$3/12,1)-1))</f>
        <v/>
      </c>
      <c r="AK17" s="50">
        <f>'Supuestos Generales'!$B$85*(1.1^MAX(0,CEILING(AK$3/12,1)-1))</f>
        <v/>
      </c>
      <c r="AL17" s="50">
        <f>'Supuestos Generales'!$B$85*(1.1^MAX(0,CEILING(AL$3/12,1)-1))</f>
        <v/>
      </c>
      <c r="AM17" s="50">
        <f>'Supuestos Generales'!$B$85*(1.1^MAX(0,CEILING(AM$3/12,1)-1))</f>
        <v/>
      </c>
      <c r="AN17" s="50">
        <f>'Supuestos Generales'!$B$85*(1.1^MAX(0,CEILING(AN$3/12,1)-1))</f>
        <v/>
      </c>
      <c r="AO17" s="50">
        <f>'Supuestos Generales'!$B$85*(1.1^MAX(0,CEILING(AO$3/12,1)-1))</f>
        <v/>
      </c>
      <c r="AP17" s="50">
        <f>'Supuestos Generales'!$B$85*(1.1^MAX(0,CEILING(AP$3/12,1)-1))</f>
        <v/>
      </c>
      <c r="AQ17" s="50">
        <f>'Supuestos Generales'!$B$85*(1.1^MAX(0,CEILING(AQ$3/12,1)-1))</f>
        <v/>
      </c>
      <c r="AR17" s="50">
        <f>'Supuestos Generales'!$B$85*(1.1^MAX(0,CEILING(AR$3/12,1)-1))</f>
        <v/>
      </c>
      <c r="AS17" s="50">
        <f>'Supuestos Generales'!$B$85*(1.1^MAX(0,CEILING(AS$3/12,1)-1))</f>
        <v/>
      </c>
      <c r="AT17" s="50">
        <f>'Supuestos Generales'!$B$85*(1.1^MAX(0,CEILING(AT$3/12,1)-1))</f>
        <v/>
      </c>
      <c r="AU17" s="50">
        <f>'Supuestos Generales'!$B$85*(1.1^MAX(0,CEILING(AU$3/12,1)-1))</f>
        <v/>
      </c>
      <c r="AV17" s="50">
        <f>'Supuestos Generales'!$B$85*(1.1^MAX(0,CEILING(AV$3/12,1)-1))</f>
        <v/>
      </c>
      <c r="AW17" s="50">
        <f>'Supuestos Generales'!$B$85*(1.1^MAX(0,CEILING(AW$3/12,1)-1))</f>
        <v/>
      </c>
      <c r="AX17" s="50">
        <f>'Supuestos Generales'!$B$85*(1.1^MAX(0,CEILING(AX$3/12,1)-1))</f>
        <v/>
      </c>
      <c r="AY17" s="50">
        <f>'Supuestos Generales'!$B$85*(1.1^MAX(0,CEILING(AY$3/12,1)-1))</f>
        <v/>
      </c>
      <c r="AZ17" s="50">
        <f>'Supuestos Generales'!$B$85*(1.1^MAX(0,CEILING(AZ$3/12,1)-1))</f>
        <v/>
      </c>
      <c r="BA17" s="50">
        <f>'Supuestos Generales'!$B$85*(1.1^MAX(0,CEILING(BA$3/12,1)-1))</f>
        <v/>
      </c>
      <c r="BB17" s="50">
        <f>'Supuestos Generales'!$B$85*(1.1^MAX(0,CEILING(BB$3/12,1)-1))</f>
        <v/>
      </c>
      <c r="BC17" s="50">
        <f>'Supuestos Generales'!$B$85*(1.1^MAX(0,CEILING(BC$3/12,1)-1))</f>
        <v/>
      </c>
      <c r="BD17" s="50">
        <f>'Supuestos Generales'!$B$85*(1.1^MAX(0,CEILING(BD$3/12,1)-1))</f>
        <v/>
      </c>
      <c r="BE17" s="50">
        <f>'Supuestos Generales'!$B$85*(1.1^MAX(0,CEILING(BE$3/12,1)-1))</f>
        <v/>
      </c>
      <c r="BF17" s="50">
        <f>'Supuestos Generales'!$B$85*(1.1^MAX(0,CEILING(BF$3/12,1)-1))</f>
        <v/>
      </c>
      <c r="BG17" s="50">
        <f>'Supuestos Generales'!$B$85*(1.1^MAX(0,CEILING(BG$3/12,1)-1))</f>
        <v/>
      </c>
      <c r="BH17" s="50">
        <f>'Supuestos Generales'!$B$85*(1.1^MAX(0,CEILING(BH$3/12,1)-1))</f>
        <v/>
      </c>
      <c r="BI17" s="50">
        <f>'Supuestos Generales'!$B$85*(1.1^MAX(0,CEILING(BI$3/12,1)-1))</f>
        <v/>
      </c>
      <c r="BJ17" s="50">
        <f>SUM(B17:BI17)</f>
        <v/>
      </c>
    </row>
    <row r="18">
      <c r="A18" s="35" t="inlineStr">
        <is>
          <t>Plataforma SaaS comunicaciones</t>
        </is>
      </c>
      <c r="B18" s="50">
        <f>'Supuestos Generales'!$B$86</f>
        <v/>
      </c>
      <c r="C18" s="50">
        <f>'Supuestos Generales'!$B$86</f>
        <v/>
      </c>
      <c r="D18" s="50">
        <f>'Supuestos Generales'!$B$86</f>
        <v/>
      </c>
      <c r="E18" s="50">
        <f>'Supuestos Generales'!$B$86</f>
        <v/>
      </c>
      <c r="F18" s="50">
        <f>'Supuestos Generales'!$B$86</f>
        <v/>
      </c>
      <c r="G18" s="50">
        <f>'Supuestos Generales'!$B$86</f>
        <v/>
      </c>
      <c r="H18" s="50">
        <f>'Supuestos Generales'!$B$86</f>
        <v/>
      </c>
      <c r="I18" s="50">
        <f>'Supuestos Generales'!$B$86</f>
        <v/>
      </c>
      <c r="J18" s="50">
        <f>'Supuestos Generales'!$B$86</f>
        <v/>
      </c>
      <c r="K18" s="50">
        <f>'Supuestos Generales'!$B$86</f>
        <v/>
      </c>
      <c r="L18" s="50">
        <f>'Supuestos Generales'!$B$86</f>
        <v/>
      </c>
      <c r="M18" s="50">
        <f>'Supuestos Generales'!$B$86</f>
        <v/>
      </c>
      <c r="N18" s="50">
        <f>'Supuestos Generales'!$B$86</f>
        <v/>
      </c>
      <c r="O18" s="50">
        <f>'Supuestos Generales'!$B$86</f>
        <v/>
      </c>
      <c r="P18" s="50">
        <f>'Supuestos Generales'!$B$86</f>
        <v/>
      </c>
      <c r="Q18" s="50">
        <f>'Supuestos Generales'!$B$86</f>
        <v/>
      </c>
      <c r="R18" s="50">
        <f>'Supuestos Generales'!$B$86</f>
        <v/>
      </c>
      <c r="S18" s="50">
        <f>'Supuestos Generales'!$B$86</f>
        <v/>
      </c>
      <c r="T18" s="50">
        <f>'Supuestos Generales'!$B$86</f>
        <v/>
      </c>
      <c r="U18" s="50">
        <f>'Supuestos Generales'!$B$86</f>
        <v/>
      </c>
      <c r="V18" s="50">
        <f>'Supuestos Generales'!$B$86</f>
        <v/>
      </c>
      <c r="W18" s="50">
        <f>'Supuestos Generales'!$B$86</f>
        <v/>
      </c>
      <c r="X18" s="50">
        <f>'Supuestos Generales'!$B$86</f>
        <v/>
      </c>
      <c r="Y18" s="50">
        <f>'Supuestos Generales'!$B$86</f>
        <v/>
      </c>
      <c r="Z18" s="50">
        <f>'Supuestos Generales'!$B$86</f>
        <v/>
      </c>
      <c r="AA18" s="50">
        <f>'Supuestos Generales'!$B$86</f>
        <v/>
      </c>
      <c r="AB18" s="50">
        <f>'Supuestos Generales'!$B$86</f>
        <v/>
      </c>
      <c r="AC18" s="50">
        <f>'Supuestos Generales'!$B$86</f>
        <v/>
      </c>
      <c r="AD18" s="50">
        <f>'Supuestos Generales'!$B$86</f>
        <v/>
      </c>
      <c r="AE18" s="50">
        <f>'Supuestos Generales'!$B$86</f>
        <v/>
      </c>
      <c r="AF18" s="50">
        <f>'Supuestos Generales'!$B$86</f>
        <v/>
      </c>
      <c r="AG18" s="50">
        <f>'Supuestos Generales'!$B$86</f>
        <v/>
      </c>
      <c r="AH18" s="50">
        <f>'Supuestos Generales'!$B$86</f>
        <v/>
      </c>
      <c r="AI18" s="50">
        <f>'Supuestos Generales'!$B$86</f>
        <v/>
      </c>
      <c r="AJ18" s="50">
        <f>'Supuestos Generales'!$B$86</f>
        <v/>
      </c>
      <c r="AK18" s="50">
        <f>'Supuestos Generales'!$B$86</f>
        <v/>
      </c>
      <c r="AL18" s="50">
        <f>'Supuestos Generales'!$B$86</f>
        <v/>
      </c>
      <c r="AM18" s="50">
        <f>'Supuestos Generales'!$B$86</f>
        <v/>
      </c>
      <c r="AN18" s="50">
        <f>'Supuestos Generales'!$B$86</f>
        <v/>
      </c>
      <c r="AO18" s="50">
        <f>'Supuestos Generales'!$B$86</f>
        <v/>
      </c>
      <c r="AP18" s="50">
        <f>'Supuestos Generales'!$B$86</f>
        <v/>
      </c>
      <c r="AQ18" s="50">
        <f>'Supuestos Generales'!$B$86</f>
        <v/>
      </c>
      <c r="AR18" s="50">
        <f>'Supuestos Generales'!$B$86</f>
        <v/>
      </c>
      <c r="AS18" s="50">
        <f>'Supuestos Generales'!$B$86</f>
        <v/>
      </c>
      <c r="AT18" s="50">
        <f>'Supuestos Generales'!$B$86</f>
        <v/>
      </c>
      <c r="AU18" s="50">
        <f>'Supuestos Generales'!$B$86</f>
        <v/>
      </c>
      <c r="AV18" s="50">
        <f>'Supuestos Generales'!$B$86</f>
        <v/>
      </c>
      <c r="AW18" s="50">
        <f>'Supuestos Generales'!$B$86</f>
        <v/>
      </c>
      <c r="AX18" s="50">
        <f>'Supuestos Generales'!$B$86</f>
        <v/>
      </c>
      <c r="AY18" s="50">
        <f>'Supuestos Generales'!$B$86</f>
        <v/>
      </c>
      <c r="AZ18" s="50">
        <f>'Supuestos Generales'!$B$86</f>
        <v/>
      </c>
      <c r="BA18" s="50">
        <f>'Supuestos Generales'!$B$86</f>
        <v/>
      </c>
      <c r="BB18" s="50">
        <f>'Supuestos Generales'!$B$86</f>
        <v/>
      </c>
      <c r="BC18" s="50">
        <f>'Supuestos Generales'!$B$86</f>
        <v/>
      </c>
      <c r="BD18" s="50">
        <f>'Supuestos Generales'!$B$86</f>
        <v/>
      </c>
      <c r="BE18" s="50">
        <f>'Supuestos Generales'!$B$86</f>
        <v/>
      </c>
      <c r="BF18" s="50">
        <f>'Supuestos Generales'!$B$86</f>
        <v/>
      </c>
      <c r="BG18" s="50">
        <f>'Supuestos Generales'!$B$86</f>
        <v/>
      </c>
      <c r="BH18" s="50">
        <f>'Supuestos Generales'!$B$86</f>
        <v/>
      </c>
      <c r="BI18" s="50">
        <f>'Supuestos Generales'!$B$86</f>
        <v/>
      </c>
      <c r="BJ18" s="50">
        <f>SUM(B18:BI18)</f>
        <v/>
      </c>
    </row>
    <row r="19">
      <c r="A19" s="25" t="inlineStr">
        <is>
          <t>Total Costos Engagement</t>
        </is>
      </c>
      <c r="B19" s="51">
        <f>SUM(B12,B14:B18)</f>
        <v/>
      </c>
      <c r="C19" s="51">
        <f>SUM(C12,C14:C18)</f>
        <v/>
      </c>
      <c r="D19" s="51">
        <f>SUM(D12,D14:D18)</f>
        <v/>
      </c>
      <c r="E19" s="51">
        <f>SUM(E12,E14:E18)</f>
        <v/>
      </c>
      <c r="F19" s="51">
        <f>SUM(F12,F14:F18)</f>
        <v/>
      </c>
      <c r="G19" s="51">
        <f>SUM(G12,G14:G18)</f>
        <v/>
      </c>
      <c r="H19" s="51">
        <f>SUM(H12,H14:H18)</f>
        <v/>
      </c>
      <c r="I19" s="51">
        <f>SUM(I12,I14:I18)</f>
        <v/>
      </c>
      <c r="J19" s="51">
        <f>SUM(J12,J14:J18)</f>
        <v/>
      </c>
      <c r="K19" s="51">
        <f>SUM(K12,K14:K18)</f>
        <v/>
      </c>
      <c r="L19" s="51">
        <f>SUM(L12,L14:L18)</f>
        <v/>
      </c>
      <c r="M19" s="51">
        <f>SUM(M12,M14:M18)</f>
        <v/>
      </c>
      <c r="N19" s="51">
        <f>SUM(N12,N14:N18)</f>
        <v/>
      </c>
      <c r="O19" s="51">
        <f>SUM(O12,O14:O18)</f>
        <v/>
      </c>
      <c r="P19" s="51">
        <f>SUM(P12,P14:P18)</f>
        <v/>
      </c>
      <c r="Q19" s="51">
        <f>SUM(Q12,Q14:Q18)</f>
        <v/>
      </c>
      <c r="R19" s="51">
        <f>SUM(R12,R14:R18)</f>
        <v/>
      </c>
      <c r="S19" s="51">
        <f>SUM(S12,S14:S18)</f>
        <v/>
      </c>
      <c r="T19" s="51">
        <f>SUM(T12,T14:T18)</f>
        <v/>
      </c>
      <c r="U19" s="51">
        <f>SUM(U12,U14:U18)</f>
        <v/>
      </c>
      <c r="V19" s="51">
        <f>SUM(V12,V14:V18)</f>
        <v/>
      </c>
      <c r="W19" s="51">
        <f>SUM(W12,W14:W18)</f>
        <v/>
      </c>
      <c r="X19" s="51">
        <f>SUM(X12,X14:X18)</f>
        <v/>
      </c>
      <c r="Y19" s="51">
        <f>SUM(Y12,Y14:Y18)</f>
        <v/>
      </c>
      <c r="Z19" s="51">
        <f>SUM(Z12,Z14:Z18)</f>
        <v/>
      </c>
      <c r="AA19" s="51">
        <f>SUM(AA12,AA14:AA18)</f>
        <v/>
      </c>
      <c r="AB19" s="51">
        <f>SUM(AB12,AB14:AB18)</f>
        <v/>
      </c>
      <c r="AC19" s="51">
        <f>SUM(AC12,AC14:AC18)</f>
        <v/>
      </c>
      <c r="AD19" s="51">
        <f>SUM(AD12,AD14:AD18)</f>
        <v/>
      </c>
      <c r="AE19" s="51">
        <f>SUM(AE12,AE14:AE18)</f>
        <v/>
      </c>
      <c r="AF19" s="51">
        <f>SUM(AF12,AF14:AF18)</f>
        <v/>
      </c>
      <c r="AG19" s="51">
        <f>SUM(AG12,AG14:AG18)</f>
        <v/>
      </c>
      <c r="AH19" s="51">
        <f>SUM(AH12,AH14:AH18)</f>
        <v/>
      </c>
      <c r="AI19" s="51">
        <f>SUM(AI12,AI14:AI18)</f>
        <v/>
      </c>
      <c r="AJ19" s="51">
        <f>SUM(AJ12,AJ14:AJ18)</f>
        <v/>
      </c>
      <c r="AK19" s="51">
        <f>SUM(AK12,AK14:AK18)</f>
        <v/>
      </c>
      <c r="AL19" s="51">
        <f>SUM(AL12,AL14:AL18)</f>
        <v/>
      </c>
      <c r="AM19" s="51">
        <f>SUM(AM12,AM14:AM18)</f>
        <v/>
      </c>
      <c r="AN19" s="51">
        <f>SUM(AN12,AN14:AN18)</f>
        <v/>
      </c>
      <c r="AO19" s="51">
        <f>SUM(AO12,AO14:AO18)</f>
        <v/>
      </c>
      <c r="AP19" s="51">
        <f>SUM(AP12,AP14:AP18)</f>
        <v/>
      </c>
      <c r="AQ19" s="51">
        <f>SUM(AQ12,AQ14:AQ18)</f>
        <v/>
      </c>
      <c r="AR19" s="51">
        <f>SUM(AR12,AR14:AR18)</f>
        <v/>
      </c>
      <c r="AS19" s="51">
        <f>SUM(AS12,AS14:AS18)</f>
        <v/>
      </c>
      <c r="AT19" s="51">
        <f>SUM(AT12,AT14:AT18)</f>
        <v/>
      </c>
      <c r="AU19" s="51">
        <f>SUM(AU12,AU14:AU18)</f>
        <v/>
      </c>
      <c r="AV19" s="51">
        <f>SUM(AV12,AV14:AV18)</f>
        <v/>
      </c>
      <c r="AW19" s="51">
        <f>SUM(AW12,AW14:AW18)</f>
        <v/>
      </c>
      <c r="AX19" s="51">
        <f>SUM(AX12,AX14:AX18)</f>
        <v/>
      </c>
      <c r="AY19" s="51">
        <f>SUM(AY12,AY14:AY18)</f>
        <v/>
      </c>
      <c r="AZ19" s="51">
        <f>SUM(AZ12,AZ14:AZ18)</f>
        <v/>
      </c>
      <c r="BA19" s="51">
        <f>SUM(BA12,BA14:BA18)</f>
        <v/>
      </c>
      <c r="BB19" s="51">
        <f>SUM(BB12,BB14:BB18)</f>
        <v/>
      </c>
      <c r="BC19" s="51">
        <f>SUM(BC12,BC14:BC18)</f>
        <v/>
      </c>
      <c r="BD19" s="51">
        <f>SUM(BD12,BD14:BD18)</f>
        <v/>
      </c>
      <c r="BE19" s="51">
        <f>SUM(BE12,BE14:BE18)</f>
        <v/>
      </c>
      <c r="BF19" s="51">
        <f>SUM(BF12,BF14:BF18)</f>
        <v/>
      </c>
      <c r="BG19" s="51">
        <f>SUM(BG12,BG14:BG18)</f>
        <v/>
      </c>
      <c r="BH19" s="51">
        <f>SUM(BH12,BH14:BH18)</f>
        <v/>
      </c>
      <c r="BI19" s="51">
        <f>SUM(BI12,BI14:BI18)</f>
        <v/>
      </c>
      <c r="BJ19" s="50">
        <f>SUM(B19:BI19)</f>
        <v/>
      </c>
    </row>
    <row r="20">
      <c r="A20" s="35" t="n"/>
      <c r="B20" s="50" t="n"/>
      <c r="C20" s="50" t="n"/>
      <c r="D20" s="50" t="n"/>
      <c r="E20" s="50" t="n"/>
      <c r="F20" s="50" t="n"/>
      <c r="G20" s="50" t="n"/>
      <c r="H20" s="50" t="n"/>
      <c r="I20" s="50" t="n"/>
      <c r="J20" s="50" t="n"/>
      <c r="K20" s="50" t="n"/>
      <c r="L20" s="50" t="n"/>
      <c r="M20" s="50" t="n"/>
      <c r="N20" s="50" t="n"/>
      <c r="O20" s="50" t="n"/>
      <c r="P20" s="50" t="n"/>
      <c r="Q20" s="50" t="n"/>
      <c r="R20" s="50" t="n"/>
      <c r="S20" s="50" t="n"/>
      <c r="T20" s="50" t="n"/>
      <c r="U20" s="50" t="n"/>
      <c r="V20" s="50" t="n"/>
      <c r="W20" s="50" t="n"/>
      <c r="X20" s="50" t="n"/>
      <c r="Y20" s="50" t="n"/>
      <c r="Z20" s="50" t="n"/>
      <c r="AA20" s="50" t="n"/>
      <c r="AB20" s="50" t="n"/>
      <c r="AC20" s="50" t="n"/>
      <c r="AD20" s="50" t="n"/>
      <c r="AE20" s="50" t="n"/>
      <c r="AF20" s="50" t="n"/>
      <c r="AG20" s="50" t="n"/>
      <c r="AH20" s="50" t="n"/>
      <c r="AI20" s="50" t="n"/>
      <c r="AJ20" s="50" t="n"/>
      <c r="AK20" s="50" t="n"/>
      <c r="AL20" s="50" t="n"/>
      <c r="AM20" s="50" t="n"/>
      <c r="AN20" s="50" t="n"/>
      <c r="AO20" s="50" t="n"/>
      <c r="AP20" s="50" t="n"/>
      <c r="AQ20" s="50" t="n"/>
      <c r="AR20" s="50" t="n"/>
      <c r="AS20" s="50" t="n"/>
      <c r="AT20" s="50" t="n"/>
      <c r="AU20" s="50" t="n"/>
      <c r="AV20" s="50" t="n"/>
      <c r="AW20" s="50" t="n"/>
      <c r="AX20" s="50" t="n"/>
      <c r="AY20" s="50" t="n"/>
      <c r="AZ20" s="50" t="n"/>
      <c r="BA20" s="50" t="n"/>
      <c r="BB20" s="50" t="n"/>
      <c r="BC20" s="50" t="n"/>
      <c r="BD20" s="50" t="n"/>
      <c r="BE20" s="50" t="n"/>
      <c r="BF20" s="50" t="n"/>
      <c r="BG20" s="50" t="n"/>
      <c r="BH20" s="50" t="n"/>
      <c r="BI20" s="50" t="n"/>
      <c r="BJ20" s="50" t="n"/>
    </row>
    <row r="22">
      <c r="A22" s="22" t="inlineStr">
        <is>
          <t>DESCUENTO POR REFERIDOS</t>
        </is>
      </c>
    </row>
    <row r="23">
      <c r="A23" s="35" t="inlineStr">
        <is>
          <t>Meseros afiliados vía referidos (mes)</t>
        </is>
      </c>
      <c r="B23" s="50">
        <f>(Onboarding!B7+Onboarding!B8)*'Supuestos Generales'!$B$19*'Supuestos Generales'!$B$20</f>
        <v/>
      </c>
      <c r="C23" s="50">
        <f>(Onboarding!C7+Onboarding!C8)*'Supuestos Generales'!$B$19*'Supuestos Generales'!$B$20</f>
        <v/>
      </c>
      <c r="D23" s="50">
        <f>(Onboarding!D7+Onboarding!D8)*'Supuestos Generales'!$B$19*'Supuestos Generales'!$B$20</f>
        <v/>
      </c>
      <c r="E23" s="50">
        <f>(Onboarding!E7+Onboarding!E8)*'Supuestos Generales'!$B$19*'Supuestos Generales'!$B$20</f>
        <v/>
      </c>
      <c r="F23" s="50">
        <f>(Onboarding!F7+Onboarding!F8)*'Supuestos Generales'!$B$19*'Supuestos Generales'!$B$20</f>
        <v/>
      </c>
      <c r="G23" s="50">
        <f>(Onboarding!G7+Onboarding!G8)*'Supuestos Generales'!$B$19*'Supuestos Generales'!$B$20</f>
        <v/>
      </c>
      <c r="H23" s="50">
        <f>(Onboarding!H7+Onboarding!H8)*'Supuestos Generales'!$B$19*'Supuestos Generales'!$B$20</f>
        <v/>
      </c>
      <c r="I23" s="50">
        <f>(Onboarding!I7+Onboarding!I8)*'Supuestos Generales'!$B$19*'Supuestos Generales'!$B$20</f>
        <v/>
      </c>
      <c r="J23" s="50">
        <f>(Onboarding!J7+Onboarding!J8)*'Supuestos Generales'!$B$19*'Supuestos Generales'!$B$20</f>
        <v/>
      </c>
      <c r="K23" s="50">
        <f>(Onboarding!K7+Onboarding!K8)*'Supuestos Generales'!$B$19*'Supuestos Generales'!$B$20</f>
        <v/>
      </c>
      <c r="L23" s="50">
        <f>(Onboarding!L7+Onboarding!L8)*'Supuestos Generales'!$B$19*'Supuestos Generales'!$B$20</f>
        <v/>
      </c>
      <c r="M23" s="50">
        <f>(Onboarding!M7+Onboarding!M8)*'Supuestos Generales'!$B$19*'Supuestos Generales'!$B$20</f>
        <v/>
      </c>
      <c r="N23" s="50">
        <f>(Onboarding!N7+Onboarding!N8)*'Supuestos Generales'!$B$19*'Supuestos Generales'!$B$20</f>
        <v/>
      </c>
      <c r="O23" s="50">
        <f>(Onboarding!O7+Onboarding!O8)*'Supuestos Generales'!$B$19*'Supuestos Generales'!$B$20</f>
        <v/>
      </c>
      <c r="P23" s="50">
        <f>(Onboarding!P7+Onboarding!P8)*'Supuestos Generales'!$B$19*'Supuestos Generales'!$B$20</f>
        <v/>
      </c>
      <c r="Q23" s="50">
        <f>(Onboarding!Q7+Onboarding!Q8)*'Supuestos Generales'!$B$19*'Supuestos Generales'!$B$20</f>
        <v/>
      </c>
      <c r="R23" s="50">
        <f>(Onboarding!R7+Onboarding!R8)*'Supuestos Generales'!$B$19*'Supuestos Generales'!$B$20</f>
        <v/>
      </c>
      <c r="S23" s="50">
        <f>(Onboarding!S7+Onboarding!S8)*'Supuestos Generales'!$B$19*'Supuestos Generales'!$B$20</f>
        <v/>
      </c>
      <c r="T23" s="50">
        <f>(Onboarding!T7+Onboarding!T8)*'Supuestos Generales'!$B$19*'Supuestos Generales'!$B$20</f>
        <v/>
      </c>
      <c r="U23" s="50">
        <f>(Onboarding!U7+Onboarding!U8)*'Supuestos Generales'!$B$19*'Supuestos Generales'!$B$20</f>
        <v/>
      </c>
      <c r="V23" s="50">
        <f>(Onboarding!V7+Onboarding!V8)*'Supuestos Generales'!$B$19*'Supuestos Generales'!$B$20</f>
        <v/>
      </c>
      <c r="W23" s="50">
        <f>(Onboarding!W7+Onboarding!W8)*'Supuestos Generales'!$B$19*'Supuestos Generales'!$B$20</f>
        <v/>
      </c>
      <c r="X23" s="50">
        <f>(Onboarding!X7+Onboarding!X8)*'Supuestos Generales'!$B$19*'Supuestos Generales'!$B$20</f>
        <v/>
      </c>
      <c r="Y23" s="50">
        <f>(Onboarding!Y7+Onboarding!Y8)*'Supuestos Generales'!$B$19*'Supuestos Generales'!$B$20</f>
        <v/>
      </c>
      <c r="Z23" s="50">
        <f>(Onboarding!Z7+Onboarding!Z8)*'Supuestos Generales'!$B$19*'Supuestos Generales'!$B$20</f>
        <v/>
      </c>
      <c r="AA23" s="50">
        <f>(Onboarding!AA7+Onboarding!AA8)*'Supuestos Generales'!$B$19*'Supuestos Generales'!$B$20</f>
        <v/>
      </c>
      <c r="AB23" s="50">
        <f>(Onboarding!AB7+Onboarding!AB8)*'Supuestos Generales'!$B$19*'Supuestos Generales'!$B$20</f>
        <v/>
      </c>
      <c r="AC23" s="50">
        <f>(Onboarding!AC7+Onboarding!AC8)*'Supuestos Generales'!$B$19*'Supuestos Generales'!$B$20</f>
        <v/>
      </c>
      <c r="AD23" s="50">
        <f>(Onboarding!AD7+Onboarding!AD8)*'Supuestos Generales'!$B$19*'Supuestos Generales'!$B$20</f>
        <v/>
      </c>
      <c r="AE23" s="50">
        <f>(Onboarding!AE7+Onboarding!AE8)*'Supuestos Generales'!$B$19*'Supuestos Generales'!$B$20</f>
        <v/>
      </c>
      <c r="AF23" s="50">
        <f>(Onboarding!AF7+Onboarding!AF8)*'Supuestos Generales'!$B$19*'Supuestos Generales'!$B$20</f>
        <v/>
      </c>
      <c r="AG23" s="50">
        <f>(Onboarding!AG7+Onboarding!AG8)*'Supuestos Generales'!$B$19*'Supuestos Generales'!$B$20</f>
        <v/>
      </c>
      <c r="AH23" s="50">
        <f>(Onboarding!AH7+Onboarding!AH8)*'Supuestos Generales'!$B$19*'Supuestos Generales'!$B$20</f>
        <v/>
      </c>
      <c r="AI23" s="50">
        <f>(Onboarding!AI7+Onboarding!AI8)*'Supuestos Generales'!$B$19*'Supuestos Generales'!$B$20</f>
        <v/>
      </c>
      <c r="AJ23" s="50">
        <f>(Onboarding!AJ7+Onboarding!AJ8)*'Supuestos Generales'!$B$19*'Supuestos Generales'!$B$20</f>
        <v/>
      </c>
      <c r="AK23" s="50">
        <f>(Onboarding!AK7+Onboarding!AK8)*'Supuestos Generales'!$B$19*'Supuestos Generales'!$B$20</f>
        <v/>
      </c>
      <c r="AL23" s="50">
        <f>(Onboarding!AL7+Onboarding!AL8)*'Supuestos Generales'!$B$19*'Supuestos Generales'!$B$20</f>
        <v/>
      </c>
      <c r="AM23" s="50">
        <f>(Onboarding!AM7+Onboarding!AM8)*'Supuestos Generales'!$B$19*'Supuestos Generales'!$B$20</f>
        <v/>
      </c>
      <c r="AN23" s="50">
        <f>(Onboarding!AN7+Onboarding!AN8)*'Supuestos Generales'!$B$19*'Supuestos Generales'!$B$20</f>
        <v/>
      </c>
      <c r="AO23" s="50">
        <f>(Onboarding!AO7+Onboarding!AO8)*'Supuestos Generales'!$B$19*'Supuestos Generales'!$B$20</f>
        <v/>
      </c>
      <c r="AP23" s="50">
        <f>(Onboarding!AP7+Onboarding!AP8)*'Supuestos Generales'!$B$19*'Supuestos Generales'!$B$20</f>
        <v/>
      </c>
      <c r="AQ23" s="50">
        <f>(Onboarding!AQ7+Onboarding!AQ8)*'Supuestos Generales'!$B$19*'Supuestos Generales'!$B$20</f>
        <v/>
      </c>
      <c r="AR23" s="50">
        <f>(Onboarding!AR7+Onboarding!AR8)*'Supuestos Generales'!$B$19*'Supuestos Generales'!$B$20</f>
        <v/>
      </c>
      <c r="AS23" s="50">
        <f>(Onboarding!AS7+Onboarding!AS8)*'Supuestos Generales'!$B$19*'Supuestos Generales'!$B$20</f>
        <v/>
      </c>
      <c r="AT23" s="50">
        <f>(Onboarding!AT7+Onboarding!AT8)*'Supuestos Generales'!$B$19*'Supuestos Generales'!$B$20</f>
        <v/>
      </c>
      <c r="AU23" s="50">
        <f>(Onboarding!AU7+Onboarding!AU8)*'Supuestos Generales'!$B$19*'Supuestos Generales'!$B$20</f>
        <v/>
      </c>
      <c r="AV23" s="50">
        <f>(Onboarding!AV7+Onboarding!AV8)*'Supuestos Generales'!$B$19*'Supuestos Generales'!$B$20</f>
        <v/>
      </c>
      <c r="AW23" s="50">
        <f>(Onboarding!AW7+Onboarding!AW8)*'Supuestos Generales'!$B$19*'Supuestos Generales'!$B$20</f>
        <v/>
      </c>
      <c r="AX23" s="50">
        <f>(Onboarding!AX7+Onboarding!AX8)*'Supuestos Generales'!$B$19*'Supuestos Generales'!$B$20</f>
        <v/>
      </c>
      <c r="AY23" s="50">
        <f>(Onboarding!AY7+Onboarding!AY8)*'Supuestos Generales'!$B$19*'Supuestos Generales'!$B$20</f>
        <v/>
      </c>
      <c r="AZ23" s="50">
        <f>(Onboarding!AZ7+Onboarding!AZ8)*'Supuestos Generales'!$B$19*'Supuestos Generales'!$B$20</f>
        <v/>
      </c>
      <c r="BA23" s="50">
        <f>(Onboarding!BA7+Onboarding!BA8)*'Supuestos Generales'!$B$19*'Supuestos Generales'!$B$20</f>
        <v/>
      </c>
      <c r="BB23" s="50">
        <f>(Onboarding!BB7+Onboarding!BB8)*'Supuestos Generales'!$B$19*'Supuestos Generales'!$B$20</f>
        <v/>
      </c>
      <c r="BC23" s="50">
        <f>(Onboarding!BC7+Onboarding!BC8)*'Supuestos Generales'!$B$19*'Supuestos Generales'!$B$20</f>
        <v/>
      </c>
      <c r="BD23" s="50">
        <f>(Onboarding!BD7+Onboarding!BD8)*'Supuestos Generales'!$B$19*'Supuestos Generales'!$B$20</f>
        <v/>
      </c>
      <c r="BE23" s="50">
        <f>(Onboarding!BE7+Onboarding!BE8)*'Supuestos Generales'!$B$19*'Supuestos Generales'!$B$20</f>
        <v/>
      </c>
      <c r="BF23" s="50">
        <f>(Onboarding!BF7+Onboarding!BF8)*'Supuestos Generales'!$B$19*'Supuestos Generales'!$B$20</f>
        <v/>
      </c>
      <c r="BG23" s="50">
        <f>(Onboarding!BG7+Onboarding!BG8)*'Supuestos Generales'!$B$19*'Supuestos Generales'!$B$20</f>
        <v/>
      </c>
      <c r="BH23" s="50">
        <f>(Onboarding!BH7+Onboarding!BH8)*'Supuestos Generales'!$B$19*'Supuestos Generales'!$B$20</f>
        <v/>
      </c>
      <c r="BI23" s="50">
        <f>(Onboarding!BI7+Onboarding!BI8)*'Supuestos Generales'!$B$19*'Supuestos Generales'!$B$20</f>
        <v/>
      </c>
      <c r="BJ23" s="50">
        <f>SUM(B23:BI23)</f>
        <v/>
      </c>
    </row>
    <row r="24">
      <c r="A24" s="35" t="inlineStr">
        <is>
          <t>Meseros gratis otorgados (mes)</t>
        </is>
      </c>
      <c r="B24" s="50">
        <f>FLOOR(B23/'Supuestos Generales'!$B$90,1)</f>
        <v/>
      </c>
      <c r="C24" s="50">
        <f>FLOOR(C23/'Supuestos Generales'!$B$90,1)</f>
        <v/>
      </c>
      <c r="D24" s="50">
        <f>FLOOR(D23/'Supuestos Generales'!$B$90,1)</f>
        <v/>
      </c>
      <c r="E24" s="50">
        <f>FLOOR(E23/'Supuestos Generales'!$B$90,1)</f>
        <v/>
      </c>
      <c r="F24" s="50">
        <f>FLOOR(F23/'Supuestos Generales'!$B$90,1)</f>
        <v/>
      </c>
      <c r="G24" s="50">
        <f>FLOOR(G23/'Supuestos Generales'!$B$90,1)</f>
        <v/>
      </c>
      <c r="H24" s="50">
        <f>FLOOR(H23/'Supuestos Generales'!$B$90,1)</f>
        <v/>
      </c>
      <c r="I24" s="50">
        <f>FLOOR(I23/'Supuestos Generales'!$B$90,1)</f>
        <v/>
      </c>
      <c r="J24" s="50">
        <f>FLOOR(J23/'Supuestos Generales'!$B$90,1)</f>
        <v/>
      </c>
      <c r="K24" s="50">
        <f>FLOOR(K23/'Supuestos Generales'!$B$90,1)</f>
        <v/>
      </c>
      <c r="L24" s="50">
        <f>FLOOR(L23/'Supuestos Generales'!$B$90,1)</f>
        <v/>
      </c>
      <c r="M24" s="50">
        <f>FLOOR(M23/'Supuestos Generales'!$B$90,1)</f>
        <v/>
      </c>
      <c r="N24" s="50">
        <f>FLOOR(N23/'Supuestos Generales'!$B$90,1)</f>
        <v/>
      </c>
      <c r="O24" s="50">
        <f>FLOOR(O23/'Supuestos Generales'!$B$90,1)</f>
        <v/>
      </c>
      <c r="P24" s="50">
        <f>FLOOR(P23/'Supuestos Generales'!$B$90,1)</f>
        <v/>
      </c>
      <c r="Q24" s="50">
        <f>FLOOR(Q23/'Supuestos Generales'!$B$90,1)</f>
        <v/>
      </c>
      <c r="R24" s="50">
        <f>FLOOR(R23/'Supuestos Generales'!$B$90,1)</f>
        <v/>
      </c>
      <c r="S24" s="50">
        <f>FLOOR(S23/'Supuestos Generales'!$B$90,1)</f>
        <v/>
      </c>
      <c r="T24" s="50">
        <f>FLOOR(T23/'Supuestos Generales'!$B$90,1)</f>
        <v/>
      </c>
      <c r="U24" s="50">
        <f>FLOOR(U23/'Supuestos Generales'!$B$90,1)</f>
        <v/>
      </c>
      <c r="V24" s="50">
        <f>FLOOR(V23/'Supuestos Generales'!$B$90,1)</f>
        <v/>
      </c>
      <c r="W24" s="50">
        <f>FLOOR(W23/'Supuestos Generales'!$B$90,1)</f>
        <v/>
      </c>
      <c r="X24" s="50">
        <f>FLOOR(X23/'Supuestos Generales'!$B$90,1)</f>
        <v/>
      </c>
      <c r="Y24" s="50">
        <f>FLOOR(Y23/'Supuestos Generales'!$B$90,1)</f>
        <v/>
      </c>
      <c r="Z24" s="50">
        <f>FLOOR(Z23/'Supuestos Generales'!$B$90,1)</f>
        <v/>
      </c>
      <c r="AA24" s="50">
        <f>FLOOR(AA23/'Supuestos Generales'!$B$90,1)</f>
        <v/>
      </c>
      <c r="AB24" s="50">
        <f>FLOOR(AB23/'Supuestos Generales'!$B$90,1)</f>
        <v/>
      </c>
      <c r="AC24" s="50">
        <f>FLOOR(AC23/'Supuestos Generales'!$B$90,1)</f>
        <v/>
      </c>
      <c r="AD24" s="50">
        <f>FLOOR(AD23/'Supuestos Generales'!$B$90,1)</f>
        <v/>
      </c>
      <c r="AE24" s="50">
        <f>FLOOR(AE23/'Supuestos Generales'!$B$90,1)</f>
        <v/>
      </c>
      <c r="AF24" s="50">
        <f>FLOOR(AF23/'Supuestos Generales'!$B$90,1)</f>
        <v/>
      </c>
      <c r="AG24" s="50">
        <f>FLOOR(AG23/'Supuestos Generales'!$B$90,1)</f>
        <v/>
      </c>
      <c r="AH24" s="50">
        <f>FLOOR(AH23/'Supuestos Generales'!$B$90,1)</f>
        <v/>
      </c>
      <c r="AI24" s="50">
        <f>FLOOR(AI23/'Supuestos Generales'!$B$90,1)</f>
        <v/>
      </c>
      <c r="AJ24" s="50">
        <f>FLOOR(AJ23/'Supuestos Generales'!$B$90,1)</f>
        <v/>
      </c>
      <c r="AK24" s="50">
        <f>FLOOR(AK23/'Supuestos Generales'!$B$90,1)</f>
        <v/>
      </c>
      <c r="AL24" s="50">
        <f>FLOOR(AL23/'Supuestos Generales'!$B$90,1)</f>
        <v/>
      </c>
      <c r="AM24" s="50">
        <f>FLOOR(AM23/'Supuestos Generales'!$B$90,1)</f>
        <v/>
      </c>
      <c r="AN24" s="50">
        <f>FLOOR(AN23/'Supuestos Generales'!$B$90,1)</f>
        <v/>
      </c>
      <c r="AO24" s="50">
        <f>FLOOR(AO23/'Supuestos Generales'!$B$90,1)</f>
        <v/>
      </c>
      <c r="AP24" s="50">
        <f>FLOOR(AP23/'Supuestos Generales'!$B$90,1)</f>
        <v/>
      </c>
      <c r="AQ24" s="50">
        <f>FLOOR(AQ23/'Supuestos Generales'!$B$90,1)</f>
        <v/>
      </c>
      <c r="AR24" s="50">
        <f>FLOOR(AR23/'Supuestos Generales'!$B$90,1)</f>
        <v/>
      </c>
      <c r="AS24" s="50">
        <f>FLOOR(AS23/'Supuestos Generales'!$B$90,1)</f>
        <v/>
      </c>
      <c r="AT24" s="50">
        <f>FLOOR(AT23/'Supuestos Generales'!$B$90,1)</f>
        <v/>
      </c>
      <c r="AU24" s="50">
        <f>FLOOR(AU23/'Supuestos Generales'!$B$90,1)</f>
        <v/>
      </c>
      <c r="AV24" s="50">
        <f>FLOOR(AV23/'Supuestos Generales'!$B$90,1)</f>
        <v/>
      </c>
      <c r="AW24" s="50">
        <f>FLOOR(AW23/'Supuestos Generales'!$B$90,1)</f>
        <v/>
      </c>
      <c r="AX24" s="50">
        <f>FLOOR(AX23/'Supuestos Generales'!$B$90,1)</f>
        <v/>
      </c>
      <c r="AY24" s="50">
        <f>FLOOR(AY23/'Supuestos Generales'!$B$90,1)</f>
        <v/>
      </c>
      <c r="AZ24" s="50">
        <f>FLOOR(AZ23/'Supuestos Generales'!$B$90,1)</f>
        <v/>
      </c>
      <c r="BA24" s="50">
        <f>FLOOR(BA23/'Supuestos Generales'!$B$90,1)</f>
        <v/>
      </c>
      <c r="BB24" s="50">
        <f>FLOOR(BB23/'Supuestos Generales'!$B$90,1)</f>
        <v/>
      </c>
      <c r="BC24" s="50">
        <f>FLOOR(BC23/'Supuestos Generales'!$B$90,1)</f>
        <v/>
      </c>
      <c r="BD24" s="50">
        <f>FLOOR(BD23/'Supuestos Generales'!$B$90,1)</f>
        <v/>
      </c>
      <c r="BE24" s="50">
        <f>FLOOR(BE23/'Supuestos Generales'!$B$90,1)</f>
        <v/>
      </c>
      <c r="BF24" s="50">
        <f>FLOOR(BF23/'Supuestos Generales'!$B$90,1)</f>
        <v/>
      </c>
      <c r="BG24" s="50">
        <f>FLOOR(BG23/'Supuestos Generales'!$B$90,1)</f>
        <v/>
      </c>
      <c r="BH24" s="50">
        <f>FLOOR(BH23/'Supuestos Generales'!$B$90,1)</f>
        <v/>
      </c>
      <c r="BI24" s="50">
        <f>FLOOR(BI23/'Supuestos Generales'!$B$90,1)</f>
        <v/>
      </c>
      <c r="BJ24" s="50">
        <f>SUM(B24:BI24)</f>
        <v/>
      </c>
    </row>
    <row r="25">
      <c r="A25" s="25" t="inlineStr">
        <is>
          <t>Meseros gratis activos (rolling 12m)</t>
        </is>
      </c>
      <c r="B25" s="51">
        <f>SUM(OFFSET($B24,0,MAX(0,COLUMN(B24)-COLUMN($B24)-'Supuestos Generales'!$B$93+1),1,MIN(COLUMN(B24)-COLUMN($B24)+1,'Supuestos Generales'!$B$93)))</f>
        <v/>
      </c>
      <c r="C25" s="51">
        <f>SUM(OFFSET($B24,0,MAX(0,COLUMN(C24)-COLUMN($B24)-'Supuestos Generales'!$B$93+1),1,MIN(COLUMN(C24)-COLUMN($B24)+1,'Supuestos Generales'!$B$93)))</f>
        <v/>
      </c>
      <c r="D25" s="51">
        <f>SUM(OFFSET($B24,0,MAX(0,COLUMN(D24)-COLUMN($B24)-'Supuestos Generales'!$B$93+1),1,MIN(COLUMN(D24)-COLUMN($B24)+1,'Supuestos Generales'!$B$93)))</f>
        <v/>
      </c>
      <c r="E25" s="51">
        <f>SUM(OFFSET($B24,0,MAX(0,COLUMN(E24)-COLUMN($B24)-'Supuestos Generales'!$B$93+1),1,MIN(COLUMN(E24)-COLUMN($B24)+1,'Supuestos Generales'!$B$93)))</f>
        <v/>
      </c>
      <c r="F25" s="51">
        <f>SUM(OFFSET($B24,0,MAX(0,COLUMN(F24)-COLUMN($B24)-'Supuestos Generales'!$B$93+1),1,MIN(COLUMN(F24)-COLUMN($B24)+1,'Supuestos Generales'!$B$93)))</f>
        <v/>
      </c>
      <c r="G25" s="51">
        <f>SUM(OFFSET($B24,0,MAX(0,COLUMN(G24)-COLUMN($B24)-'Supuestos Generales'!$B$93+1),1,MIN(COLUMN(G24)-COLUMN($B24)+1,'Supuestos Generales'!$B$93)))</f>
        <v/>
      </c>
      <c r="H25" s="51">
        <f>SUM(OFFSET($B24,0,MAX(0,COLUMN(H24)-COLUMN($B24)-'Supuestos Generales'!$B$93+1),1,MIN(COLUMN(H24)-COLUMN($B24)+1,'Supuestos Generales'!$B$93)))</f>
        <v/>
      </c>
      <c r="I25" s="51">
        <f>SUM(OFFSET($B24,0,MAX(0,COLUMN(I24)-COLUMN($B24)-'Supuestos Generales'!$B$93+1),1,MIN(COLUMN(I24)-COLUMN($B24)+1,'Supuestos Generales'!$B$93)))</f>
        <v/>
      </c>
      <c r="J25" s="51">
        <f>SUM(OFFSET($B24,0,MAX(0,COLUMN(J24)-COLUMN($B24)-'Supuestos Generales'!$B$93+1),1,MIN(COLUMN(J24)-COLUMN($B24)+1,'Supuestos Generales'!$B$93)))</f>
        <v/>
      </c>
      <c r="K25" s="51">
        <f>SUM(OFFSET($B24,0,MAX(0,COLUMN(K24)-COLUMN($B24)-'Supuestos Generales'!$B$93+1),1,MIN(COLUMN(K24)-COLUMN($B24)+1,'Supuestos Generales'!$B$93)))</f>
        <v/>
      </c>
      <c r="L25" s="51">
        <f>SUM(OFFSET($B24,0,MAX(0,COLUMN(L24)-COLUMN($B24)-'Supuestos Generales'!$B$93+1),1,MIN(COLUMN(L24)-COLUMN($B24)+1,'Supuestos Generales'!$B$93)))</f>
        <v/>
      </c>
      <c r="M25" s="51">
        <f>SUM(OFFSET($B24,0,MAX(0,COLUMN(M24)-COLUMN($B24)-'Supuestos Generales'!$B$93+1),1,MIN(COLUMN(M24)-COLUMN($B24)+1,'Supuestos Generales'!$B$93)))</f>
        <v/>
      </c>
      <c r="N25" s="51">
        <f>SUM(OFFSET($B24,0,MAX(0,COLUMN(N24)-COLUMN($B24)-'Supuestos Generales'!$B$93+1),1,MIN(COLUMN(N24)-COLUMN($B24)+1,'Supuestos Generales'!$B$93)))</f>
        <v/>
      </c>
      <c r="O25" s="51">
        <f>SUM(OFFSET($B24,0,MAX(0,COLUMN(O24)-COLUMN($B24)-'Supuestos Generales'!$B$93+1),1,MIN(COLUMN(O24)-COLUMN($B24)+1,'Supuestos Generales'!$B$93)))</f>
        <v/>
      </c>
      <c r="P25" s="51">
        <f>SUM(OFFSET($B24,0,MAX(0,COLUMN(P24)-COLUMN($B24)-'Supuestos Generales'!$B$93+1),1,MIN(COLUMN(P24)-COLUMN($B24)+1,'Supuestos Generales'!$B$93)))</f>
        <v/>
      </c>
      <c r="Q25" s="51">
        <f>SUM(OFFSET($B24,0,MAX(0,COLUMN(Q24)-COLUMN($B24)-'Supuestos Generales'!$B$93+1),1,MIN(COLUMN(Q24)-COLUMN($B24)+1,'Supuestos Generales'!$B$93)))</f>
        <v/>
      </c>
      <c r="R25" s="51">
        <f>SUM(OFFSET($B24,0,MAX(0,COLUMN(R24)-COLUMN($B24)-'Supuestos Generales'!$B$93+1),1,MIN(COLUMN(R24)-COLUMN($B24)+1,'Supuestos Generales'!$B$93)))</f>
        <v/>
      </c>
      <c r="S25" s="51">
        <f>SUM(OFFSET($B24,0,MAX(0,COLUMN(S24)-COLUMN($B24)-'Supuestos Generales'!$B$93+1),1,MIN(COLUMN(S24)-COLUMN($B24)+1,'Supuestos Generales'!$B$93)))</f>
        <v/>
      </c>
      <c r="T25" s="51">
        <f>SUM(OFFSET($B24,0,MAX(0,COLUMN(T24)-COLUMN($B24)-'Supuestos Generales'!$B$93+1),1,MIN(COLUMN(T24)-COLUMN($B24)+1,'Supuestos Generales'!$B$93)))</f>
        <v/>
      </c>
      <c r="U25" s="51">
        <f>SUM(OFFSET($B24,0,MAX(0,COLUMN(U24)-COLUMN($B24)-'Supuestos Generales'!$B$93+1),1,MIN(COLUMN(U24)-COLUMN($B24)+1,'Supuestos Generales'!$B$93)))</f>
        <v/>
      </c>
      <c r="V25" s="51">
        <f>SUM(OFFSET($B24,0,MAX(0,COLUMN(V24)-COLUMN($B24)-'Supuestos Generales'!$B$93+1),1,MIN(COLUMN(V24)-COLUMN($B24)+1,'Supuestos Generales'!$B$93)))</f>
        <v/>
      </c>
      <c r="W25" s="51">
        <f>SUM(OFFSET($B24,0,MAX(0,COLUMN(W24)-COLUMN($B24)-'Supuestos Generales'!$B$93+1),1,MIN(COLUMN(W24)-COLUMN($B24)+1,'Supuestos Generales'!$B$93)))</f>
        <v/>
      </c>
      <c r="X25" s="51">
        <f>SUM(OFFSET($B24,0,MAX(0,COLUMN(X24)-COLUMN($B24)-'Supuestos Generales'!$B$93+1),1,MIN(COLUMN(X24)-COLUMN($B24)+1,'Supuestos Generales'!$B$93)))</f>
        <v/>
      </c>
      <c r="Y25" s="51">
        <f>SUM(OFFSET($B24,0,MAX(0,COLUMN(Y24)-COLUMN($B24)-'Supuestos Generales'!$B$93+1),1,MIN(COLUMN(Y24)-COLUMN($B24)+1,'Supuestos Generales'!$B$93)))</f>
        <v/>
      </c>
      <c r="Z25" s="51">
        <f>SUM(OFFSET($B24,0,MAX(0,COLUMN(Z24)-COLUMN($B24)-'Supuestos Generales'!$B$93+1),1,MIN(COLUMN(Z24)-COLUMN($B24)+1,'Supuestos Generales'!$B$93)))</f>
        <v/>
      </c>
      <c r="AA25" s="51">
        <f>SUM(OFFSET($B24,0,MAX(0,COLUMN(AA24)-COLUMN($B24)-'Supuestos Generales'!$B$93+1),1,MIN(COLUMN(AA24)-COLUMN($B24)+1,'Supuestos Generales'!$B$93)))</f>
        <v/>
      </c>
      <c r="AB25" s="51">
        <f>SUM(OFFSET($B24,0,MAX(0,COLUMN(AB24)-COLUMN($B24)-'Supuestos Generales'!$B$93+1),1,MIN(COLUMN(AB24)-COLUMN($B24)+1,'Supuestos Generales'!$B$93)))</f>
        <v/>
      </c>
      <c r="AC25" s="51">
        <f>SUM(OFFSET($B24,0,MAX(0,COLUMN(AC24)-COLUMN($B24)-'Supuestos Generales'!$B$93+1),1,MIN(COLUMN(AC24)-COLUMN($B24)+1,'Supuestos Generales'!$B$93)))</f>
        <v/>
      </c>
      <c r="AD25" s="51">
        <f>SUM(OFFSET($B24,0,MAX(0,COLUMN(AD24)-COLUMN($B24)-'Supuestos Generales'!$B$93+1),1,MIN(COLUMN(AD24)-COLUMN($B24)+1,'Supuestos Generales'!$B$93)))</f>
        <v/>
      </c>
      <c r="AE25" s="51">
        <f>SUM(OFFSET($B24,0,MAX(0,COLUMN(AE24)-COLUMN($B24)-'Supuestos Generales'!$B$93+1),1,MIN(COLUMN(AE24)-COLUMN($B24)+1,'Supuestos Generales'!$B$93)))</f>
        <v/>
      </c>
      <c r="AF25" s="51">
        <f>SUM(OFFSET($B24,0,MAX(0,COLUMN(AF24)-COLUMN($B24)-'Supuestos Generales'!$B$93+1),1,MIN(COLUMN(AF24)-COLUMN($B24)+1,'Supuestos Generales'!$B$93)))</f>
        <v/>
      </c>
      <c r="AG25" s="51">
        <f>SUM(OFFSET($B24,0,MAX(0,COLUMN(AG24)-COLUMN($B24)-'Supuestos Generales'!$B$93+1),1,MIN(COLUMN(AG24)-COLUMN($B24)+1,'Supuestos Generales'!$B$93)))</f>
        <v/>
      </c>
      <c r="AH25" s="51">
        <f>SUM(OFFSET($B24,0,MAX(0,COLUMN(AH24)-COLUMN($B24)-'Supuestos Generales'!$B$93+1),1,MIN(COLUMN(AH24)-COLUMN($B24)+1,'Supuestos Generales'!$B$93)))</f>
        <v/>
      </c>
      <c r="AI25" s="51">
        <f>SUM(OFFSET($B24,0,MAX(0,COLUMN(AI24)-COLUMN($B24)-'Supuestos Generales'!$B$93+1),1,MIN(COLUMN(AI24)-COLUMN($B24)+1,'Supuestos Generales'!$B$93)))</f>
        <v/>
      </c>
      <c r="AJ25" s="51">
        <f>SUM(OFFSET($B24,0,MAX(0,COLUMN(AJ24)-COLUMN($B24)-'Supuestos Generales'!$B$93+1),1,MIN(COLUMN(AJ24)-COLUMN($B24)+1,'Supuestos Generales'!$B$93)))</f>
        <v/>
      </c>
      <c r="AK25" s="51">
        <f>SUM(OFFSET($B24,0,MAX(0,COLUMN(AK24)-COLUMN($B24)-'Supuestos Generales'!$B$93+1),1,MIN(COLUMN(AK24)-COLUMN($B24)+1,'Supuestos Generales'!$B$93)))</f>
        <v/>
      </c>
      <c r="AL25" s="51">
        <f>SUM(OFFSET($B24,0,MAX(0,COLUMN(AL24)-COLUMN($B24)-'Supuestos Generales'!$B$93+1),1,MIN(COLUMN(AL24)-COLUMN($B24)+1,'Supuestos Generales'!$B$93)))</f>
        <v/>
      </c>
      <c r="AM25" s="51">
        <f>SUM(OFFSET($B24,0,MAX(0,COLUMN(AM24)-COLUMN($B24)-'Supuestos Generales'!$B$93+1),1,MIN(COLUMN(AM24)-COLUMN($B24)+1,'Supuestos Generales'!$B$93)))</f>
        <v/>
      </c>
      <c r="AN25" s="51">
        <f>SUM(OFFSET($B24,0,MAX(0,COLUMN(AN24)-COLUMN($B24)-'Supuestos Generales'!$B$93+1),1,MIN(COLUMN(AN24)-COLUMN($B24)+1,'Supuestos Generales'!$B$93)))</f>
        <v/>
      </c>
      <c r="AO25" s="51">
        <f>SUM(OFFSET($B24,0,MAX(0,COLUMN(AO24)-COLUMN($B24)-'Supuestos Generales'!$B$93+1),1,MIN(COLUMN(AO24)-COLUMN($B24)+1,'Supuestos Generales'!$B$93)))</f>
        <v/>
      </c>
      <c r="AP25" s="51">
        <f>SUM(OFFSET($B24,0,MAX(0,COLUMN(AP24)-COLUMN($B24)-'Supuestos Generales'!$B$93+1),1,MIN(COLUMN(AP24)-COLUMN($B24)+1,'Supuestos Generales'!$B$93)))</f>
        <v/>
      </c>
      <c r="AQ25" s="51">
        <f>SUM(OFFSET($B24,0,MAX(0,COLUMN(AQ24)-COLUMN($B24)-'Supuestos Generales'!$B$93+1),1,MIN(COLUMN(AQ24)-COLUMN($B24)+1,'Supuestos Generales'!$B$93)))</f>
        <v/>
      </c>
      <c r="AR25" s="51">
        <f>SUM(OFFSET($B24,0,MAX(0,COLUMN(AR24)-COLUMN($B24)-'Supuestos Generales'!$B$93+1),1,MIN(COLUMN(AR24)-COLUMN($B24)+1,'Supuestos Generales'!$B$93)))</f>
        <v/>
      </c>
      <c r="AS25" s="51">
        <f>SUM(OFFSET($B24,0,MAX(0,COLUMN(AS24)-COLUMN($B24)-'Supuestos Generales'!$B$93+1),1,MIN(COLUMN(AS24)-COLUMN($B24)+1,'Supuestos Generales'!$B$93)))</f>
        <v/>
      </c>
      <c r="AT25" s="51">
        <f>SUM(OFFSET($B24,0,MAX(0,COLUMN(AT24)-COLUMN($B24)-'Supuestos Generales'!$B$93+1),1,MIN(COLUMN(AT24)-COLUMN($B24)+1,'Supuestos Generales'!$B$93)))</f>
        <v/>
      </c>
      <c r="AU25" s="51">
        <f>SUM(OFFSET($B24,0,MAX(0,COLUMN(AU24)-COLUMN($B24)-'Supuestos Generales'!$B$93+1),1,MIN(COLUMN(AU24)-COLUMN($B24)+1,'Supuestos Generales'!$B$93)))</f>
        <v/>
      </c>
      <c r="AV25" s="51">
        <f>SUM(OFFSET($B24,0,MAX(0,COLUMN(AV24)-COLUMN($B24)-'Supuestos Generales'!$B$93+1),1,MIN(COLUMN(AV24)-COLUMN($B24)+1,'Supuestos Generales'!$B$93)))</f>
        <v/>
      </c>
      <c r="AW25" s="51">
        <f>SUM(OFFSET($B24,0,MAX(0,COLUMN(AW24)-COLUMN($B24)-'Supuestos Generales'!$B$93+1),1,MIN(COLUMN(AW24)-COLUMN($B24)+1,'Supuestos Generales'!$B$93)))</f>
        <v/>
      </c>
      <c r="AX25" s="51">
        <f>SUM(OFFSET($B24,0,MAX(0,COLUMN(AX24)-COLUMN($B24)-'Supuestos Generales'!$B$93+1),1,MIN(COLUMN(AX24)-COLUMN($B24)+1,'Supuestos Generales'!$B$93)))</f>
        <v/>
      </c>
      <c r="AY25" s="51">
        <f>SUM(OFFSET($B24,0,MAX(0,COLUMN(AY24)-COLUMN($B24)-'Supuestos Generales'!$B$93+1),1,MIN(COLUMN(AY24)-COLUMN($B24)+1,'Supuestos Generales'!$B$93)))</f>
        <v/>
      </c>
      <c r="AZ25" s="51">
        <f>SUM(OFFSET($B24,0,MAX(0,COLUMN(AZ24)-COLUMN($B24)-'Supuestos Generales'!$B$93+1),1,MIN(COLUMN(AZ24)-COLUMN($B24)+1,'Supuestos Generales'!$B$93)))</f>
        <v/>
      </c>
      <c r="BA25" s="51">
        <f>SUM(OFFSET($B24,0,MAX(0,COLUMN(BA24)-COLUMN($B24)-'Supuestos Generales'!$B$93+1),1,MIN(COLUMN(BA24)-COLUMN($B24)+1,'Supuestos Generales'!$B$93)))</f>
        <v/>
      </c>
      <c r="BB25" s="51">
        <f>SUM(OFFSET($B24,0,MAX(0,COLUMN(BB24)-COLUMN($B24)-'Supuestos Generales'!$B$93+1),1,MIN(COLUMN(BB24)-COLUMN($B24)+1,'Supuestos Generales'!$B$93)))</f>
        <v/>
      </c>
      <c r="BC25" s="51">
        <f>SUM(OFFSET($B24,0,MAX(0,COLUMN(BC24)-COLUMN($B24)-'Supuestos Generales'!$B$93+1),1,MIN(COLUMN(BC24)-COLUMN($B24)+1,'Supuestos Generales'!$B$93)))</f>
        <v/>
      </c>
      <c r="BD25" s="51">
        <f>SUM(OFFSET($B24,0,MAX(0,COLUMN(BD24)-COLUMN($B24)-'Supuestos Generales'!$B$93+1),1,MIN(COLUMN(BD24)-COLUMN($B24)+1,'Supuestos Generales'!$B$93)))</f>
        <v/>
      </c>
      <c r="BE25" s="51">
        <f>SUM(OFFSET($B24,0,MAX(0,COLUMN(BE24)-COLUMN($B24)-'Supuestos Generales'!$B$93+1),1,MIN(COLUMN(BE24)-COLUMN($B24)+1,'Supuestos Generales'!$B$93)))</f>
        <v/>
      </c>
      <c r="BF25" s="51">
        <f>SUM(OFFSET($B24,0,MAX(0,COLUMN(BF24)-COLUMN($B24)-'Supuestos Generales'!$B$93+1),1,MIN(COLUMN(BF24)-COLUMN($B24)+1,'Supuestos Generales'!$B$93)))</f>
        <v/>
      </c>
      <c r="BG25" s="51">
        <f>SUM(OFFSET($B24,0,MAX(0,COLUMN(BG24)-COLUMN($B24)-'Supuestos Generales'!$B$93+1),1,MIN(COLUMN(BG24)-COLUMN($B24)+1,'Supuestos Generales'!$B$93)))</f>
        <v/>
      </c>
      <c r="BH25" s="51">
        <f>SUM(OFFSET($B24,0,MAX(0,COLUMN(BH24)-COLUMN($B24)-'Supuestos Generales'!$B$93+1),1,MIN(COLUMN(BH24)-COLUMN($B24)+1,'Supuestos Generales'!$B$93)))</f>
        <v/>
      </c>
      <c r="BI25" s="51">
        <f>SUM(OFFSET($B24,0,MAX(0,COLUMN(BI24)-COLUMN($B24)-'Supuestos Generales'!$B$93+1),1,MIN(COLUMN(BI24)-COLUMN($B24)+1,'Supuestos Generales'!$B$93)))</f>
        <v/>
      </c>
      <c r="BJ25" s="56" t="inlineStr">
        <is>
          <t>N/A</t>
        </is>
      </c>
    </row>
    <row r="26">
      <c r="A26" s="36" t="inlineStr">
        <is>
          <t>Costo descuento meseros gratis</t>
        </is>
      </c>
      <c r="B26" s="52">
        <f>B25*'Supuestos Generales'!$B$92</f>
        <v/>
      </c>
      <c r="C26" s="52">
        <f>C25*'Supuestos Generales'!$B$92</f>
        <v/>
      </c>
      <c r="D26" s="52">
        <f>D25*'Supuestos Generales'!$B$92</f>
        <v/>
      </c>
      <c r="E26" s="52">
        <f>E25*'Supuestos Generales'!$B$92</f>
        <v/>
      </c>
      <c r="F26" s="52">
        <f>F25*'Supuestos Generales'!$B$92</f>
        <v/>
      </c>
      <c r="G26" s="52">
        <f>G25*'Supuestos Generales'!$B$92</f>
        <v/>
      </c>
      <c r="H26" s="52">
        <f>H25*'Supuestos Generales'!$B$92</f>
        <v/>
      </c>
      <c r="I26" s="52">
        <f>I25*'Supuestos Generales'!$B$92</f>
        <v/>
      </c>
      <c r="J26" s="52">
        <f>J25*'Supuestos Generales'!$B$92</f>
        <v/>
      </c>
      <c r="K26" s="52">
        <f>K25*'Supuestos Generales'!$B$92</f>
        <v/>
      </c>
      <c r="L26" s="52">
        <f>L25*'Supuestos Generales'!$B$92</f>
        <v/>
      </c>
      <c r="M26" s="52">
        <f>M25*'Supuestos Generales'!$B$92</f>
        <v/>
      </c>
      <c r="N26" s="52">
        <f>N25*'Supuestos Generales'!$B$92</f>
        <v/>
      </c>
      <c r="O26" s="52">
        <f>O25*'Supuestos Generales'!$B$92</f>
        <v/>
      </c>
      <c r="P26" s="52">
        <f>P25*'Supuestos Generales'!$B$92</f>
        <v/>
      </c>
      <c r="Q26" s="52">
        <f>Q25*'Supuestos Generales'!$B$92</f>
        <v/>
      </c>
      <c r="R26" s="52">
        <f>R25*'Supuestos Generales'!$B$92</f>
        <v/>
      </c>
      <c r="S26" s="52">
        <f>S25*'Supuestos Generales'!$B$92</f>
        <v/>
      </c>
      <c r="T26" s="52">
        <f>T25*'Supuestos Generales'!$B$92</f>
        <v/>
      </c>
      <c r="U26" s="52">
        <f>U25*'Supuestos Generales'!$B$92</f>
        <v/>
      </c>
      <c r="V26" s="52">
        <f>V25*'Supuestos Generales'!$B$92</f>
        <v/>
      </c>
      <c r="W26" s="52">
        <f>W25*'Supuestos Generales'!$B$92</f>
        <v/>
      </c>
      <c r="X26" s="52">
        <f>X25*'Supuestos Generales'!$B$92</f>
        <v/>
      </c>
      <c r="Y26" s="52">
        <f>Y25*'Supuestos Generales'!$B$92</f>
        <v/>
      </c>
      <c r="Z26" s="52">
        <f>Z25*'Supuestos Generales'!$B$92</f>
        <v/>
      </c>
      <c r="AA26" s="52">
        <f>AA25*'Supuestos Generales'!$B$92</f>
        <v/>
      </c>
      <c r="AB26" s="52">
        <f>AB25*'Supuestos Generales'!$B$92</f>
        <v/>
      </c>
      <c r="AC26" s="52">
        <f>AC25*'Supuestos Generales'!$B$92</f>
        <v/>
      </c>
      <c r="AD26" s="52">
        <f>AD25*'Supuestos Generales'!$B$92</f>
        <v/>
      </c>
      <c r="AE26" s="52">
        <f>AE25*'Supuestos Generales'!$B$92</f>
        <v/>
      </c>
      <c r="AF26" s="52">
        <f>AF25*'Supuestos Generales'!$B$92</f>
        <v/>
      </c>
      <c r="AG26" s="52">
        <f>AG25*'Supuestos Generales'!$B$92</f>
        <v/>
      </c>
      <c r="AH26" s="52">
        <f>AH25*'Supuestos Generales'!$B$92</f>
        <v/>
      </c>
      <c r="AI26" s="52">
        <f>AI25*'Supuestos Generales'!$B$92</f>
        <v/>
      </c>
      <c r="AJ26" s="52">
        <f>AJ25*'Supuestos Generales'!$B$92</f>
        <v/>
      </c>
      <c r="AK26" s="52">
        <f>AK25*'Supuestos Generales'!$B$92</f>
        <v/>
      </c>
      <c r="AL26" s="52">
        <f>AL25*'Supuestos Generales'!$B$92</f>
        <v/>
      </c>
      <c r="AM26" s="52">
        <f>AM25*'Supuestos Generales'!$B$92</f>
        <v/>
      </c>
      <c r="AN26" s="52">
        <f>AN25*'Supuestos Generales'!$B$92</f>
        <v/>
      </c>
      <c r="AO26" s="52">
        <f>AO25*'Supuestos Generales'!$B$92</f>
        <v/>
      </c>
      <c r="AP26" s="52">
        <f>AP25*'Supuestos Generales'!$B$92</f>
        <v/>
      </c>
      <c r="AQ26" s="52">
        <f>AQ25*'Supuestos Generales'!$B$92</f>
        <v/>
      </c>
      <c r="AR26" s="52">
        <f>AR25*'Supuestos Generales'!$B$92</f>
        <v/>
      </c>
      <c r="AS26" s="52">
        <f>AS25*'Supuestos Generales'!$B$92</f>
        <v/>
      </c>
      <c r="AT26" s="52">
        <f>AT25*'Supuestos Generales'!$B$92</f>
        <v/>
      </c>
      <c r="AU26" s="52">
        <f>AU25*'Supuestos Generales'!$B$92</f>
        <v/>
      </c>
      <c r="AV26" s="52">
        <f>AV25*'Supuestos Generales'!$B$92</f>
        <v/>
      </c>
      <c r="AW26" s="52">
        <f>AW25*'Supuestos Generales'!$B$92</f>
        <v/>
      </c>
      <c r="AX26" s="52">
        <f>AX25*'Supuestos Generales'!$B$92</f>
        <v/>
      </c>
      <c r="AY26" s="52">
        <f>AY25*'Supuestos Generales'!$B$92</f>
        <v/>
      </c>
      <c r="AZ26" s="52">
        <f>AZ25*'Supuestos Generales'!$B$92</f>
        <v/>
      </c>
      <c r="BA26" s="52">
        <f>BA25*'Supuestos Generales'!$B$92</f>
        <v/>
      </c>
      <c r="BB26" s="52">
        <f>BB25*'Supuestos Generales'!$B$92</f>
        <v/>
      </c>
      <c r="BC26" s="52">
        <f>BC25*'Supuestos Generales'!$B$92</f>
        <v/>
      </c>
      <c r="BD26" s="52">
        <f>BD25*'Supuestos Generales'!$B$92</f>
        <v/>
      </c>
      <c r="BE26" s="52">
        <f>BE25*'Supuestos Generales'!$B$92</f>
        <v/>
      </c>
      <c r="BF26" s="52">
        <f>BF25*'Supuestos Generales'!$B$92</f>
        <v/>
      </c>
      <c r="BG26" s="52">
        <f>BG25*'Supuestos Generales'!$B$92</f>
        <v/>
      </c>
      <c r="BH26" s="52">
        <f>BH25*'Supuestos Generales'!$B$92</f>
        <v/>
      </c>
      <c r="BI26" s="52">
        <f>BI25*'Supuestos Generales'!$B$92</f>
        <v/>
      </c>
      <c r="BJ26" s="52">
        <f>SUM(B26:BI26)</f>
        <v/>
      </c>
    </row>
    <row r="29">
      <c r="A29" s="22" t="inlineStr">
        <is>
          <t>PROVISIÓN ERRORES Y FRAUDES</t>
        </is>
      </c>
      <c r="B29" s="210" t="n"/>
    </row>
    <row r="30">
      <c r="A30" s="209" t="inlineStr">
        <is>
          <t>Provisión errores humanos (Super Monedas)</t>
        </is>
      </c>
      <c r="B30" s="754">
        <f>(Ingresos!B14+Ingresos!B15)*'Supuestos Generales'!$B$64</f>
        <v/>
      </c>
      <c r="C30" s="754">
        <f>(Ingresos!C14+Ingresos!C15)*'Supuestos Generales'!$B$64</f>
        <v/>
      </c>
      <c r="D30" s="754">
        <f>(Ingresos!D14+Ingresos!D15)*'Supuestos Generales'!$B$64</f>
        <v/>
      </c>
      <c r="E30" s="754">
        <f>(Ingresos!E14+Ingresos!E15)*'Supuestos Generales'!$B$64</f>
        <v/>
      </c>
      <c r="F30" s="754">
        <f>(Ingresos!F14+Ingresos!F15)*'Supuestos Generales'!$B$64</f>
        <v/>
      </c>
      <c r="G30" s="754">
        <f>(Ingresos!G14+Ingresos!G15)*'Supuestos Generales'!$B$64</f>
        <v/>
      </c>
      <c r="H30" s="754">
        <f>(Ingresos!H14+Ingresos!H15)*'Supuestos Generales'!$B$64</f>
        <v/>
      </c>
      <c r="I30" s="754">
        <f>(Ingresos!I14+Ingresos!I15)*'Supuestos Generales'!$B$64</f>
        <v/>
      </c>
      <c r="J30" s="754">
        <f>(Ingresos!J14+Ingresos!J15)*'Supuestos Generales'!$B$64</f>
        <v/>
      </c>
      <c r="K30" s="754">
        <f>(Ingresos!K14+Ingresos!K15)*'Supuestos Generales'!$B$64</f>
        <v/>
      </c>
      <c r="L30" s="754">
        <f>(Ingresos!L14+Ingresos!L15)*'Supuestos Generales'!$B$64</f>
        <v/>
      </c>
      <c r="M30" s="754">
        <f>(Ingresos!M14+Ingresos!M15)*'Supuestos Generales'!$B$64</f>
        <v/>
      </c>
      <c r="N30" s="754">
        <f>(Ingresos!N14+Ingresos!N15)*'Supuestos Generales'!$B$64</f>
        <v/>
      </c>
      <c r="O30" s="754">
        <f>(Ingresos!O14+Ingresos!O15)*'Supuestos Generales'!$B$64</f>
        <v/>
      </c>
      <c r="P30" s="754">
        <f>(Ingresos!P14+Ingresos!P15)*'Supuestos Generales'!$B$64</f>
        <v/>
      </c>
      <c r="Q30" s="754">
        <f>(Ingresos!Q14+Ingresos!Q15)*'Supuestos Generales'!$B$64</f>
        <v/>
      </c>
      <c r="R30" s="754">
        <f>(Ingresos!R14+Ingresos!R15)*'Supuestos Generales'!$B$64</f>
        <v/>
      </c>
      <c r="S30" s="754">
        <f>(Ingresos!S14+Ingresos!S15)*'Supuestos Generales'!$B$64</f>
        <v/>
      </c>
      <c r="T30" s="754">
        <f>(Ingresos!T14+Ingresos!T15)*'Supuestos Generales'!$B$64</f>
        <v/>
      </c>
      <c r="U30" s="754">
        <f>(Ingresos!U14+Ingresos!U15)*'Supuestos Generales'!$B$64</f>
        <v/>
      </c>
      <c r="V30" s="754">
        <f>(Ingresos!V14+Ingresos!V15)*'Supuestos Generales'!$B$64</f>
        <v/>
      </c>
      <c r="W30" s="754">
        <f>(Ingresos!W14+Ingresos!W15)*'Supuestos Generales'!$B$64</f>
        <v/>
      </c>
      <c r="X30" s="754">
        <f>(Ingresos!X14+Ingresos!X15)*'Supuestos Generales'!$B$64</f>
        <v/>
      </c>
      <c r="Y30" s="754">
        <f>(Ingresos!Y14+Ingresos!Y15)*'Supuestos Generales'!$B$64</f>
        <v/>
      </c>
      <c r="Z30" s="754">
        <f>(Ingresos!Z14+Ingresos!Z15)*'Supuestos Generales'!$B$64</f>
        <v/>
      </c>
      <c r="AA30" s="754">
        <f>(Ingresos!AA14+Ingresos!AA15)*'Supuestos Generales'!$B$64</f>
        <v/>
      </c>
      <c r="AB30" s="754">
        <f>(Ingresos!AB14+Ingresos!AB15)*'Supuestos Generales'!$B$64</f>
        <v/>
      </c>
      <c r="AC30" s="754">
        <f>(Ingresos!AC14+Ingresos!AC15)*'Supuestos Generales'!$B$64</f>
        <v/>
      </c>
      <c r="AD30" s="754">
        <f>(Ingresos!AD14+Ingresos!AD15)*'Supuestos Generales'!$B$64</f>
        <v/>
      </c>
      <c r="AE30" s="754">
        <f>(Ingresos!AE14+Ingresos!AE15)*'Supuestos Generales'!$B$64</f>
        <v/>
      </c>
      <c r="AF30" s="754">
        <f>(Ingresos!AF14+Ingresos!AF15)*'Supuestos Generales'!$B$64</f>
        <v/>
      </c>
      <c r="AG30" s="754">
        <f>(Ingresos!AG14+Ingresos!AG15)*'Supuestos Generales'!$B$64</f>
        <v/>
      </c>
      <c r="AH30" s="754">
        <f>(Ingresos!AH14+Ingresos!AH15)*'Supuestos Generales'!$B$64</f>
        <v/>
      </c>
      <c r="AI30" s="754">
        <f>(Ingresos!AI14+Ingresos!AI15)*'Supuestos Generales'!$B$64</f>
        <v/>
      </c>
      <c r="AJ30" s="754">
        <f>(Ingresos!AJ14+Ingresos!AJ15)*'Supuestos Generales'!$B$64</f>
        <v/>
      </c>
      <c r="AK30" s="754">
        <f>(Ingresos!AK14+Ingresos!AK15)*'Supuestos Generales'!$B$64</f>
        <v/>
      </c>
      <c r="AL30" s="754">
        <f>(Ingresos!AL14+Ingresos!AL15)*'Supuestos Generales'!$B$64</f>
        <v/>
      </c>
      <c r="AM30" s="754">
        <f>(Ingresos!AM14+Ingresos!AM15)*'Supuestos Generales'!$B$64</f>
        <v/>
      </c>
      <c r="AN30" s="754">
        <f>(Ingresos!AN14+Ingresos!AN15)*'Supuestos Generales'!$B$64</f>
        <v/>
      </c>
      <c r="AO30" s="754">
        <f>(Ingresos!AO14+Ingresos!AO15)*'Supuestos Generales'!$B$64</f>
        <v/>
      </c>
      <c r="AP30" s="754">
        <f>(Ingresos!AP14+Ingresos!AP15)*'Supuestos Generales'!$B$64</f>
        <v/>
      </c>
      <c r="AQ30" s="754">
        <f>(Ingresos!AQ14+Ingresos!AQ15)*'Supuestos Generales'!$B$64</f>
        <v/>
      </c>
      <c r="AR30" s="754">
        <f>(Ingresos!AR14+Ingresos!AR15)*'Supuestos Generales'!$B$64</f>
        <v/>
      </c>
      <c r="AS30" s="754">
        <f>(Ingresos!AS14+Ingresos!AS15)*'Supuestos Generales'!$B$64</f>
        <v/>
      </c>
      <c r="AT30" s="754">
        <f>(Ingresos!AT14+Ingresos!AT15)*'Supuestos Generales'!$B$64</f>
        <v/>
      </c>
      <c r="AU30" s="754">
        <f>(Ingresos!AU14+Ingresos!AU15)*'Supuestos Generales'!$B$64</f>
        <v/>
      </c>
      <c r="AV30" s="754">
        <f>(Ingresos!AV14+Ingresos!AV15)*'Supuestos Generales'!$B$64</f>
        <v/>
      </c>
      <c r="AW30" s="754">
        <f>(Ingresos!AW14+Ingresos!AW15)*'Supuestos Generales'!$B$64</f>
        <v/>
      </c>
      <c r="AX30" s="754">
        <f>(Ingresos!AX14+Ingresos!AX15)*'Supuestos Generales'!$B$64</f>
        <v/>
      </c>
      <c r="AY30" s="754">
        <f>(Ingresos!AY14+Ingresos!AY15)*'Supuestos Generales'!$B$64</f>
        <v/>
      </c>
      <c r="AZ30" s="754">
        <f>(Ingresos!AZ14+Ingresos!AZ15)*'Supuestos Generales'!$B$64</f>
        <v/>
      </c>
      <c r="BA30" s="754">
        <f>(Ingresos!BA14+Ingresos!BA15)*'Supuestos Generales'!$B$64</f>
        <v/>
      </c>
      <c r="BB30" s="754">
        <f>(Ingresos!BB14+Ingresos!BB15)*'Supuestos Generales'!$B$64</f>
        <v/>
      </c>
      <c r="BC30" s="754">
        <f>(Ingresos!BC14+Ingresos!BC15)*'Supuestos Generales'!$B$64</f>
        <v/>
      </c>
      <c r="BD30" s="754">
        <f>(Ingresos!BD14+Ingresos!BD15)*'Supuestos Generales'!$B$64</f>
        <v/>
      </c>
      <c r="BE30" s="754">
        <f>(Ingresos!BE14+Ingresos!BE15)*'Supuestos Generales'!$B$64</f>
        <v/>
      </c>
      <c r="BF30" s="754">
        <f>(Ingresos!BF14+Ingresos!BF15)*'Supuestos Generales'!$B$64</f>
        <v/>
      </c>
      <c r="BG30" s="754">
        <f>(Ingresos!BG14+Ingresos!BG15)*'Supuestos Generales'!$B$64</f>
        <v/>
      </c>
      <c r="BH30" s="754">
        <f>(Ingresos!BH14+Ingresos!BH15)*'Supuestos Generales'!$B$64</f>
        <v/>
      </c>
      <c r="BI30" s="754">
        <f>(Ingresos!BI14+Ingresos!BI15)*'Supuestos Generales'!$B$64</f>
        <v/>
      </c>
      <c r="BJ30" s="757">
        <f>SUM(B30:BI30)</f>
        <v/>
      </c>
    </row>
    <row r="31">
      <c r="A31" s="209" t="inlineStr">
        <is>
          <t>Provisión fraude (Super Monedas)</t>
        </is>
      </c>
      <c r="B31" s="754">
        <f>(Ingresos!B14+Ingresos!B15)*'Supuestos Generales'!$B$65</f>
        <v/>
      </c>
      <c r="C31" s="754">
        <f>(Ingresos!C14+Ingresos!C15)*'Supuestos Generales'!$B$65</f>
        <v/>
      </c>
      <c r="D31" s="754">
        <f>(Ingresos!D14+Ingresos!D15)*'Supuestos Generales'!$B$65</f>
        <v/>
      </c>
      <c r="E31" s="754">
        <f>(Ingresos!E14+Ingresos!E15)*'Supuestos Generales'!$B$65</f>
        <v/>
      </c>
      <c r="F31" s="754">
        <f>(Ingresos!F14+Ingresos!F15)*'Supuestos Generales'!$B$65</f>
        <v/>
      </c>
      <c r="G31" s="754">
        <f>(Ingresos!G14+Ingresos!G15)*'Supuestos Generales'!$B$65</f>
        <v/>
      </c>
      <c r="H31" s="754">
        <f>(Ingresos!H14+Ingresos!H15)*'Supuestos Generales'!$B$65</f>
        <v/>
      </c>
      <c r="I31" s="754">
        <f>(Ingresos!I14+Ingresos!I15)*'Supuestos Generales'!$B$65</f>
        <v/>
      </c>
      <c r="J31" s="754">
        <f>(Ingresos!J14+Ingresos!J15)*'Supuestos Generales'!$B$65</f>
        <v/>
      </c>
      <c r="K31" s="754">
        <f>(Ingresos!K14+Ingresos!K15)*'Supuestos Generales'!$B$65</f>
        <v/>
      </c>
      <c r="L31" s="754">
        <f>(Ingresos!L14+Ingresos!L15)*'Supuestos Generales'!$B$65</f>
        <v/>
      </c>
      <c r="M31" s="754">
        <f>(Ingresos!M14+Ingresos!M15)*'Supuestos Generales'!$B$65</f>
        <v/>
      </c>
      <c r="N31" s="754">
        <f>(Ingresos!N14+Ingresos!N15)*'Supuestos Generales'!$B$65</f>
        <v/>
      </c>
      <c r="O31" s="754">
        <f>(Ingresos!O14+Ingresos!O15)*'Supuestos Generales'!$B$65</f>
        <v/>
      </c>
      <c r="P31" s="754">
        <f>(Ingresos!P14+Ingresos!P15)*'Supuestos Generales'!$B$65</f>
        <v/>
      </c>
      <c r="Q31" s="754">
        <f>(Ingresos!Q14+Ingresos!Q15)*'Supuestos Generales'!$B$65</f>
        <v/>
      </c>
      <c r="R31" s="754">
        <f>(Ingresos!R14+Ingresos!R15)*'Supuestos Generales'!$B$65</f>
        <v/>
      </c>
      <c r="S31" s="754">
        <f>(Ingresos!S14+Ingresos!S15)*'Supuestos Generales'!$B$65</f>
        <v/>
      </c>
      <c r="T31" s="754">
        <f>(Ingresos!T14+Ingresos!T15)*'Supuestos Generales'!$B$65</f>
        <v/>
      </c>
      <c r="U31" s="754">
        <f>(Ingresos!U14+Ingresos!U15)*'Supuestos Generales'!$B$65</f>
        <v/>
      </c>
      <c r="V31" s="754">
        <f>(Ingresos!V14+Ingresos!V15)*'Supuestos Generales'!$B$65</f>
        <v/>
      </c>
      <c r="W31" s="754">
        <f>(Ingresos!W14+Ingresos!W15)*'Supuestos Generales'!$B$65</f>
        <v/>
      </c>
      <c r="X31" s="754">
        <f>(Ingresos!X14+Ingresos!X15)*'Supuestos Generales'!$B$65</f>
        <v/>
      </c>
      <c r="Y31" s="754">
        <f>(Ingresos!Y14+Ingresos!Y15)*'Supuestos Generales'!$B$65</f>
        <v/>
      </c>
      <c r="Z31" s="754">
        <f>(Ingresos!Z14+Ingresos!Z15)*'Supuestos Generales'!$B$65</f>
        <v/>
      </c>
      <c r="AA31" s="754">
        <f>(Ingresos!AA14+Ingresos!AA15)*'Supuestos Generales'!$B$65</f>
        <v/>
      </c>
      <c r="AB31" s="754">
        <f>(Ingresos!AB14+Ingresos!AB15)*'Supuestos Generales'!$B$65</f>
        <v/>
      </c>
      <c r="AC31" s="754">
        <f>(Ingresos!AC14+Ingresos!AC15)*'Supuestos Generales'!$B$65</f>
        <v/>
      </c>
      <c r="AD31" s="754">
        <f>(Ingresos!AD14+Ingresos!AD15)*'Supuestos Generales'!$B$65</f>
        <v/>
      </c>
      <c r="AE31" s="754">
        <f>(Ingresos!AE14+Ingresos!AE15)*'Supuestos Generales'!$B$65</f>
        <v/>
      </c>
      <c r="AF31" s="754">
        <f>(Ingresos!AF14+Ingresos!AF15)*'Supuestos Generales'!$B$65</f>
        <v/>
      </c>
      <c r="AG31" s="754">
        <f>(Ingresos!AG14+Ingresos!AG15)*'Supuestos Generales'!$B$65</f>
        <v/>
      </c>
      <c r="AH31" s="754">
        <f>(Ingresos!AH14+Ingresos!AH15)*'Supuestos Generales'!$B$65</f>
        <v/>
      </c>
      <c r="AI31" s="754">
        <f>(Ingresos!AI14+Ingresos!AI15)*'Supuestos Generales'!$B$65</f>
        <v/>
      </c>
      <c r="AJ31" s="754">
        <f>(Ingresos!AJ14+Ingresos!AJ15)*'Supuestos Generales'!$B$65</f>
        <v/>
      </c>
      <c r="AK31" s="754">
        <f>(Ingresos!AK14+Ingresos!AK15)*'Supuestos Generales'!$B$65</f>
        <v/>
      </c>
      <c r="AL31" s="754">
        <f>(Ingresos!AL14+Ingresos!AL15)*'Supuestos Generales'!$B$65</f>
        <v/>
      </c>
      <c r="AM31" s="754">
        <f>(Ingresos!AM14+Ingresos!AM15)*'Supuestos Generales'!$B$65</f>
        <v/>
      </c>
      <c r="AN31" s="754">
        <f>(Ingresos!AN14+Ingresos!AN15)*'Supuestos Generales'!$B$65</f>
        <v/>
      </c>
      <c r="AO31" s="754">
        <f>(Ingresos!AO14+Ingresos!AO15)*'Supuestos Generales'!$B$65</f>
        <v/>
      </c>
      <c r="AP31" s="754">
        <f>(Ingresos!AP14+Ingresos!AP15)*'Supuestos Generales'!$B$65</f>
        <v/>
      </c>
      <c r="AQ31" s="754">
        <f>(Ingresos!AQ14+Ingresos!AQ15)*'Supuestos Generales'!$B$65</f>
        <v/>
      </c>
      <c r="AR31" s="754">
        <f>(Ingresos!AR14+Ingresos!AR15)*'Supuestos Generales'!$B$65</f>
        <v/>
      </c>
      <c r="AS31" s="754">
        <f>(Ingresos!AS14+Ingresos!AS15)*'Supuestos Generales'!$B$65</f>
        <v/>
      </c>
      <c r="AT31" s="754">
        <f>(Ingresos!AT14+Ingresos!AT15)*'Supuestos Generales'!$B$65</f>
        <v/>
      </c>
      <c r="AU31" s="754">
        <f>(Ingresos!AU14+Ingresos!AU15)*'Supuestos Generales'!$B$65</f>
        <v/>
      </c>
      <c r="AV31" s="754">
        <f>(Ingresos!AV14+Ingresos!AV15)*'Supuestos Generales'!$B$65</f>
        <v/>
      </c>
      <c r="AW31" s="754">
        <f>(Ingresos!AW14+Ingresos!AW15)*'Supuestos Generales'!$B$65</f>
        <v/>
      </c>
      <c r="AX31" s="754">
        <f>(Ingresos!AX14+Ingresos!AX15)*'Supuestos Generales'!$B$65</f>
        <v/>
      </c>
      <c r="AY31" s="754">
        <f>(Ingresos!AY14+Ingresos!AY15)*'Supuestos Generales'!$B$65</f>
        <v/>
      </c>
      <c r="AZ31" s="754">
        <f>(Ingresos!AZ14+Ingresos!AZ15)*'Supuestos Generales'!$B$65</f>
        <v/>
      </c>
      <c r="BA31" s="754">
        <f>(Ingresos!BA14+Ingresos!BA15)*'Supuestos Generales'!$B$65</f>
        <v/>
      </c>
      <c r="BB31" s="754">
        <f>(Ingresos!BB14+Ingresos!BB15)*'Supuestos Generales'!$B$65</f>
        <v/>
      </c>
      <c r="BC31" s="754">
        <f>(Ingresos!BC14+Ingresos!BC15)*'Supuestos Generales'!$B$65</f>
        <v/>
      </c>
      <c r="BD31" s="754">
        <f>(Ingresos!BD14+Ingresos!BD15)*'Supuestos Generales'!$B$65</f>
        <v/>
      </c>
      <c r="BE31" s="754">
        <f>(Ingresos!BE14+Ingresos!BE15)*'Supuestos Generales'!$B$65</f>
        <v/>
      </c>
      <c r="BF31" s="754">
        <f>(Ingresos!BF14+Ingresos!BF15)*'Supuestos Generales'!$B$65</f>
        <v/>
      </c>
      <c r="BG31" s="754">
        <f>(Ingresos!BG14+Ingresos!BG15)*'Supuestos Generales'!$B$65</f>
        <v/>
      </c>
      <c r="BH31" s="754">
        <f>(Ingresos!BH14+Ingresos!BH15)*'Supuestos Generales'!$B$65</f>
        <v/>
      </c>
      <c r="BI31" s="754">
        <f>(Ingresos!BI14+Ingresos!BI15)*'Supuestos Generales'!$B$65</f>
        <v/>
      </c>
      <c r="BJ31" s="757">
        <f>SUM(B31:BI31)</f>
        <v/>
      </c>
    </row>
    <row r="32">
      <c r="A32" s="25" t="inlineStr">
        <is>
          <t>Total Provisión Errores + Fraude</t>
        </is>
      </c>
      <c r="B32" s="758">
        <f>B30+B31</f>
        <v/>
      </c>
      <c r="C32" s="758">
        <f>C30+C31</f>
        <v/>
      </c>
      <c r="D32" s="758">
        <f>D30+D31</f>
        <v/>
      </c>
      <c r="E32" s="758">
        <f>E30+E31</f>
        <v/>
      </c>
      <c r="F32" s="758">
        <f>F30+F31</f>
        <v/>
      </c>
      <c r="G32" s="758">
        <f>G30+G31</f>
        <v/>
      </c>
      <c r="H32" s="758">
        <f>H30+H31</f>
        <v/>
      </c>
      <c r="I32" s="758">
        <f>I30+I31</f>
        <v/>
      </c>
      <c r="J32" s="758">
        <f>J30+J31</f>
        <v/>
      </c>
      <c r="K32" s="758">
        <f>K30+K31</f>
        <v/>
      </c>
      <c r="L32" s="758">
        <f>L30+L31</f>
        <v/>
      </c>
      <c r="M32" s="758">
        <f>M30+M31</f>
        <v/>
      </c>
      <c r="N32" s="758">
        <f>N30+N31</f>
        <v/>
      </c>
      <c r="O32" s="758">
        <f>O30+O31</f>
        <v/>
      </c>
      <c r="P32" s="758">
        <f>P30+P31</f>
        <v/>
      </c>
      <c r="Q32" s="758">
        <f>Q30+Q31</f>
        <v/>
      </c>
      <c r="R32" s="758">
        <f>R30+R31</f>
        <v/>
      </c>
      <c r="S32" s="758">
        <f>S30+S31</f>
        <v/>
      </c>
      <c r="T32" s="758">
        <f>T30+T31</f>
        <v/>
      </c>
      <c r="U32" s="758">
        <f>U30+U31</f>
        <v/>
      </c>
      <c r="V32" s="758">
        <f>V30+V31</f>
        <v/>
      </c>
      <c r="W32" s="758">
        <f>W30+W31</f>
        <v/>
      </c>
      <c r="X32" s="758">
        <f>X30+X31</f>
        <v/>
      </c>
      <c r="Y32" s="758">
        <f>Y30+Y31</f>
        <v/>
      </c>
      <c r="Z32" s="758">
        <f>Z30+Z31</f>
        <v/>
      </c>
      <c r="AA32" s="758">
        <f>AA30+AA31</f>
        <v/>
      </c>
      <c r="AB32" s="758">
        <f>AB30+AB31</f>
        <v/>
      </c>
      <c r="AC32" s="758">
        <f>AC30+AC31</f>
        <v/>
      </c>
      <c r="AD32" s="758">
        <f>AD30+AD31</f>
        <v/>
      </c>
      <c r="AE32" s="758">
        <f>AE30+AE31</f>
        <v/>
      </c>
      <c r="AF32" s="758">
        <f>AF30+AF31</f>
        <v/>
      </c>
      <c r="AG32" s="758">
        <f>AG30+AG31</f>
        <v/>
      </c>
      <c r="AH32" s="758">
        <f>AH30+AH31</f>
        <v/>
      </c>
      <c r="AI32" s="758">
        <f>AI30+AI31</f>
        <v/>
      </c>
      <c r="AJ32" s="758">
        <f>AJ30+AJ31</f>
        <v/>
      </c>
      <c r="AK32" s="758">
        <f>AK30+AK31</f>
        <v/>
      </c>
      <c r="AL32" s="758">
        <f>AL30+AL31</f>
        <v/>
      </c>
      <c r="AM32" s="758">
        <f>AM30+AM31</f>
        <v/>
      </c>
      <c r="AN32" s="758">
        <f>AN30+AN31</f>
        <v/>
      </c>
      <c r="AO32" s="758">
        <f>AO30+AO31</f>
        <v/>
      </c>
      <c r="AP32" s="758">
        <f>AP30+AP31</f>
        <v/>
      </c>
      <c r="AQ32" s="758">
        <f>AQ30+AQ31</f>
        <v/>
      </c>
      <c r="AR32" s="758">
        <f>AR30+AR31</f>
        <v/>
      </c>
      <c r="AS32" s="758">
        <f>AS30+AS31</f>
        <v/>
      </c>
      <c r="AT32" s="758">
        <f>AT30+AT31</f>
        <v/>
      </c>
      <c r="AU32" s="758">
        <f>AU30+AU31</f>
        <v/>
      </c>
      <c r="AV32" s="758">
        <f>AV30+AV31</f>
        <v/>
      </c>
      <c r="AW32" s="758">
        <f>AW30+AW31</f>
        <v/>
      </c>
      <c r="AX32" s="758">
        <f>AX30+AX31</f>
        <v/>
      </c>
      <c r="AY32" s="758">
        <f>AY30+AY31</f>
        <v/>
      </c>
      <c r="AZ32" s="758">
        <f>AZ30+AZ31</f>
        <v/>
      </c>
      <c r="BA32" s="758">
        <f>BA30+BA31</f>
        <v/>
      </c>
      <c r="BB32" s="758">
        <f>BB30+BB31</f>
        <v/>
      </c>
      <c r="BC32" s="758">
        <f>BC30+BC31</f>
        <v/>
      </c>
      <c r="BD32" s="758">
        <f>BD30+BD31</f>
        <v/>
      </c>
      <c r="BE32" s="758">
        <f>BE30+BE31</f>
        <v/>
      </c>
      <c r="BF32" s="758">
        <f>BF30+BF31</f>
        <v/>
      </c>
      <c r="BG32" s="758">
        <f>BG30+BG31</f>
        <v/>
      </c>
      <c r="BH32" s="758">
        <f>BH30+BH31</f>
        <v/>
      </c>
      <c r="BI32" s="758">
        <f>BI30+BI31</f>
        <v/>
      </c>
      <c r="BJ32" s="758">
        <f>SUM(B32:BI32)</f>
        <v/>
      </c>
    </row>
    <row r="33">
      <c r="A33" s="35" t="inlineStr">
        <is>
          <t>Comisión Pasarela de Pago</t>
        </is>
      </c>
      <c r="B33" s="194">
        <f>'Supuestos Generales'!$B$37*(Ingresos!B11+Ingresos!B12+Ingresos!B13+Ingresos!B16+(Ingresos!B14+Ingresos!B15)*'Supuestos Generales'!$B$33*'Supuestos Generales'!$B$36)</f>
        <v/>
      </c>
      <c r="C33" s="194">
        <f>'Supuestos Generales'!$B$37*(Ingresos!C11+Ingresos!C12+Ingresos!C13+Ingresos!C16+(Ingresos!C14+Ingresos!C15)*'Supuestos Generales'!$B$33*'Supuestos Generales'!$B$36)</f>
        <v/>
      </c>
      <c r="D33" s="194">
        <f>'Supuestos Generales'!$B$37*(Ingresos!D11+Ingresos!D12+Ingresos!D13+Ingresos!D16+(Ingresos!D14+Ingresos!D15)*'Supuestos Generales'!$B$33*'Supuestos Generales'!$B$36)</f>
        <v/>
      </c>
      <c r="E33" s="194">
        <f>'Supuestos Generales'!$B$37*(Ingresos!E11+Ingresos!E12+Ingresos!E13+Ingresos!E16+(Ingresos!E14+Ingresos!E15)*'Supuestos Generales'!$B$33*'Supuestos Generales'!$B$36)</f>
        <v/>
      </c>
      <c r="F33" s="194">
        <f>'Supuestos Generales'!$B$37*(Ingresos!F11+Ingresos!F12+Ingresos!F13+Ingresos!F16+(Ingresos!F14+Ingresos!F15)*'Supuestos Generales'!$B$33*'Supuestos Generales'!$B$36)</f>
        <v/>
      </c>
      <c r="G33" s="194">
        <f>'Supuestos Generales'!$B$37*(Ingresos!G11+Ingresos!G12+Ingresos!G13+Ingresos!G16+(Ingresos!G14+Ingresos!G15)*'Supuestos Generales'!$B$33*'Supuestos Generales'!$B$36)</f>
        <v/>
      </c>
      <c r="H33" s="194">
        <f>'Supuestos Generales'!$B$37*(Ingresos!H11+Ingresos!H12+Ingresos!H13+Ingresos!H16+(Ingresos!H14+Ingresos!H15)*'Supuestos Generales'!$B$33*'Supuestos Generales'!$B$36)</f>
        <v/>
      </c>
      <c r="I33" s="194">
        <f>'Supuestos Generales'!$B$37*(Ingresos!I11+Ingresos!I12+Ingresos!I13+Ingresos!I16+(Ingresos!I14+Ingresos!I15)*'Supuestos Generales'!$B$33*'Supuestos Generales'!$B$36)</f>
        <v/>
      </c>
      <c r="J33" s="194">
        <f>'Supuestos Generales'!$B$37*(Ingresos!J11+Ingresos!J12+Ingresos!J13+Ingresos!J16+(Ingresos!J14+Ingresos!J15)*'Supuestos Generales'!$B$33*'Supuestos Generales'!$B$36)</f>
        <v/>
      </c>
      <c r="K33" s="194">
        <f>'Supuestos Generales'!$B$37*(Ingresos!K11+Ingresos!K12+Ingresos!K13+Ingresos!K16+(Ingresos!K14+Ingresos!K15)*'Supuestos Generales'!$B$33*'Supuestos Generales'!$B$36)</f>
        <v/>
      </c>
      <c r="L33" s="194">
        <f>'Supuestos Generales'!$B$37*(Ingresos!L11+Ingresos!L12+Ingresos!L13+Ingresos!L16+(Ingresos!L14+Ingresos!L15)*'Supuestos Generales'!$B$33*'Supuestos Generales'!$B$36)</f>
        <v/>
      </c>
      <c r="M33" s="194">
        <f>'Supuestos Generales'!$B$37*(Ingresos!M11+Ingresos!M12+Ingresos!M13+Ingresos!M16+(Ingresos!M14+Ingresos!M15)*'Supuestos Generales'!$B$33*'Supuestos Generales'!$B$36)</f>
        <v/>
      </c>
      <c r="N33" s="194">
        <f>'Supuestos Generales'!$B$37*(Ingresos!N11+Ingresos!N12+Ingresos!N13+Ingresos!N16+(Ingresos!N14+Ingresos!N15)*'Supuestos Generales'!$B$33*'Supuestos Generales'!$B$36)</f>
        <v/>
      </c>
      <c r="O33" s="194">
        <f>'Supuestos Generales'!$B$37*(Ingresos!O11+Ingresos!O12+Ingresos!O13+Ingresos!O16+(Ingresos!O14+Ingresos!O15)*'Supuestos Generales'!$B$33*'Supuestos Generales'!$B$36)</f>
        <v/>
      </c>
      <c r="P33" s="194">
        <f>'Supuestos Generales'!$B$37*(Ingresos!P11+Ingresos!P12+Ingresos!P13+Ingresos!P16+(Ingresos!P14+Ingresos!P15)*'Supuestos Generales'!$B$33*'Supuestos Generales'!$B$36)</f>
        <v/>
      </c>
      <c r="Q33" s="194">
        <f>'Supuestos Generales'!$B$37*(Ingresos!Q11+Ingresos!Q12+Ingresos!Q13+Ingresos!Q16+(Ingresos!Q14+Ingresos!Q15)*'Supuestos Generales'!$B$33*'Supuestos Generales'!$B$36)</f>
        <v/>
      </c>
      <c r="R33" s="194">
        <f>'Supuestos Generales'!$B$37*(Ingresos!R11+Ingresos!R12+Ingresos!R13+Ingresos!R16+(Ingresos!R14+Ingresos!R15)*'Supuestos Generales'!$B$33*'Supuestos Generales'!$B$36)</f>
        <v/>
      </c>
      <c r="S33" s="194">
        <f>'Supuestos Generales'!$B$37*(Ingresos!S11+Ingresos!S12+Ingresos!S13+Ingresos!S16+(Ingresos!S14+Ingresos!S15)*'Supuestos Generales'!$B$33*'Supuestos Generales'!$B$36)</f>
        <v/>
      </c>
      <c r="T33" s="194">
        <f>'Supuestos Generales'!$B$37*(Ingresos!T11+Ingresos!T12+Ingresos!T13+Ingresos!T16+(Ingresos!T14+Ingresos!T15)*'Supuestos Generales'!$B$33*'Supuestos Generales'!$B$36)</f>
        <v/>
      </c>
      <c r="U33" s="194">
        <f>'Supuestos Generales'!$B$37*(Ingresos!U11+Ingresos!U12+Ingresos!U13+Ingresos!U16+(Ingresos!U14+Ingresos!U15)*'Supuestos Generales'!$B$33*'Supuestos Generales'!$B$36)</f>
        <v/>
      </c>
      <c r="V33" s="194">
        <f>'Supuestos Generales'!$B$37*(Ingresos!V11+Ingresos!V12+Ingresos!V13+Ingresos!V16+(Ingresos!V14+Ingresos!V15)*'Supuestos Generales'!$B$33*'Supuestos Generales'!$B$36)</f>
        <v/>
      </c>
      <c r="W33" s="194">
        <f>'Supuestos Generales'!$B$37*(Ingresos!W11+Ingresos!W12+Ingresos!W13+Ingresos!W16+(Ingresos!W14+Ingresos!W15)*'Supuestos Generales'!$B$33*'Supuestos Generales'!$B$36)</f>
        <v/>
      </c>
      <c r="X33" s="194">
        <f>'Supuestos Generales'!$B$37*(Ingresos!X11+Ingresos!X12+Ingresos!X13+Ingresos!X16+(Ingresos!X14+Ingresos!X15)*'Supuestos Generales'!$B$33*'Supuestos Generales'!$B$36)</f>
        <v/>
      </c>
      <c r="Y33" s="194">
        <f>'Supuestos Generales'!$B$37*(Ingresos!Y11+Ingresos!Y12+Ingresos!Y13+Ingresos!Y16+(Ingresos!Y14+Ingresos!Y15)*'Supuestos Generales'!$B$33*'Supuestos Generales'!$B$36)</f>
        <v/>
      </c>
      <c r="Z33" s="194">
        <f>'Supuestos Generales'!$B$37*(Ingresos!Z11+Ingresos!Z12+Ingresos!Z13+Ingresos!Z16+(Ingresos!Z14+Ingresos!Z15)*'Supuestos Generales'!$B$33*'Supuestos Generales'!$B$36)</f>
        <v/>
      </c>
      <c r="AA33" s="194">
        <f>'Supuestos Generales'!$B$37*(Ingresos!AA11+Ingresos!AA12+Ingresos!AA13+Ingresos!AA16+(Ingresos!AA14+Ingresos!AA15)*'Supuestos Generales'!$B$33*'Supuestos Generales'!$B$36)</f>
        <v/>
      </c>
      <c r="AB33" s="194">
        <f>'Supuestos Generales'!$B$37*(Ingresos!AB11+Ingresos!AB12+Ingresos!AB13+Ingresos!AB16+(Ingresos!AB14+Ingresos!AB15)*'Supuestos Generales'!$B$33*'Supuestos Generales'!$B$36)</f>
        <v/>
      </c>
      <c r="AC33" s="194">
        <f>'Supuestos Generales'!$B$37*(Ingresos!AC11+Ingresos!AC12+Ingresos!AC13+Ingresos!AC16+(Ingresos!AC14+Ingresos!AC15)*'Supuestos Generales'!$B$33*'Supuestos Generales'!$B$36)</f>
        <v/>
      </c>
      <c r="AD33" s="194">
        <f>'Supuestos Generales'!$B$37*(Ingresos!AD11+Ingresos!AD12+Ingresos!AD13+Ingresos!AD16+(Ingresos!AD14+Ingresos!AD15)*'Supuestos Generales'!$B$33*'Supuestos Generales'!$B$36)</f>
        <v/>
      </c>
      <c r="AE33" s="194">
        <f>'Supuestos Generales'!$B$37*(Ingresos!AE11+Ingresos!AE12+Ingresos!AE13+Ingresos!AE16+(Ingresos!AE14+Ingresos!AE15)*'Supuestos Generales'!$B$33*'Supuestos Generales'!$B$36)</f>
        <v/>
      </c>
      <c r="AF33" s="194">
        <f>'Supuestos Generales'!$B$37*(Ingresos!AF11+Ingresos!AF12+Ingresos!AF13+Ingresos!AF16+(Ingresos!AF14+Ingresos!AF15)*'Supuestos Generales'!$B$33*'Supuestos Generales'!$B$36)</f>
        <v/>
      </c>
      <c r="AG33" s="194">
        <f>'Supuestos Generales'!$B$37*(Ingresos!AG11+Ingresos!AG12+Ingresos!AG13+Ingresos!AG16+(Ingresos!AG14+Ingresos!AG15)*'Supuestos Generales'!$B$33*'Supuestos Generales'!$B$36)</f>
        <v/>
      </c>
      <c r="AH33" s="194">
        <f>'Supuestos Generales'!$B$37*(Ingresos!AH11+Ingresos!AH12+Ingresos!AH13+Ingresos!AH16+(Ingresos!AH14+Ingresos!AH15)*'Supuestos Generales'!$B$33*'Supuestos Generales'!$B$36)</f>
        <v/>
      </c>
      <c r="AI33" s="194">
        <f>'Supuestos Generales'!$B$37*(Ingresos!AI11+Ingresos!AI12+Ingresos!AI13+Ingresos!AI16+(Ingresos!AI14+Ingresos!AI15)*'Supuestos Generales'!$B$33*'Supuestos Generales'!$B$36)</f>
        <v/>
      </c>
      <c r="AJ33" s="194">
        <f>'Supuestos Generales'!$B$37*(Ingresos!AJ11+Ingresos!AJ12+Ingresos!AJ13+Ingresos!AJ16+(Ingresos!AJ14+Ingresos!AJ15)*'Supuestos Generales'!$B$33*'Supuestos Generales'!$B$36)</f>
        <v/>
      </c>
      <c r="AK33" s="194">
        <f>'Supuestos Generales'!$B$37*(Ingresos!AK11+Ingresos!AK12+Ingresos!AK13+Ingresos!AK16+(Ingresos!AK14+Ingresos!AK15)*'Supuestos Generales'!$B$33*'Supuestos Generales'!$B$36)</f>
        <v/>
      </c>
      <c r="AL33" s="194">
        <f>'Supuestos Generales'!$B$37*(Ingresos!AL11+Ingresos!AL12+Ingresos!AL13+Ingresos!AL16+(Ingresos!AL14+Ingresos!AL15)*'Supuestos Generales'!$B$33*'Supuestos Generales'!$B$36)</f>
        <v/>
      </c>
      <c r="AM33" s="194">
        <f>'Supuestos Generales'!$B$37*(Ingresos!AM11+Ingresos!AM12+Ingresos!AM13+Ingresos!AM16+(Ingresos!AM14+Ingresos!AM15)*'Supuestos Generales'!$B$33*'Supuestos Generales'!$B$36)</f>
        <v/>
      </c>
      <c r="AN33" s="194">
        <f>'Supuestos Generales'!$B$37*(Ingresos!AN11+Ingresos!AN12+Ingresos!AN13+Ingresos!AN16+(Ingresos!AN14+Ingresos!AN15)*'Supuestos Generales'!$B$33*'Supuestos Generales'!$B$36)</f>
        <v/>
      </c>
      <c r="AO33" s="194">
        <f>'Supuestos Generales'!$B$37*(Ingresos!AO11+Ingresos!AO12+Ingresos!AO13+Ingresos!AO16+(Ingresos!AO14+Ingresos!AO15)*'Supuestos Generales'!$B$33*'Supuestos Generales'!$B$36)</f>
        <v/>
      </c>
      <c r="AP33" s="194">
        <f>'Supuestos Generales'!$B$37*(Ingresos!AP11+Ingresos!AP12+Ingresos!AP13+Ingresos!AP16+(Ingresos!AP14+Ingresos!AP15)*'Supuestos Generales'!$B$33*'Supuestos Generales'!$B$36)</f>
        <v/>
      </c>
      <c r="AQ33" s="194">
        <f>'Supuestos Generales'!$B$37*(Ingresos!AQ11+Ingresos!AQ12+Ingresos!AQ13+Ingresos!AQ16+(Ingresos!AQ14+Ingresos!AQ15)*'Supuestos Generales'!$B$33*'Supuestos Generales'!$B$36)</f>
        <v/>
      </c>
      <c r="AR33" s="194">
        <f>'Supuestos Generales'!$B$37*(Ingresos!AR11+Ingresos!AR12+Ingresos!AR13+Ingresos!AR16+(Ingresos!AR14+Ingresos!AR15)*'Supuestos Generales'!$B$33*'Supuestos Generales'!$B$36)</f>
        <v/>
      </c>
      <c r="AS33" s="194">
        <f>'Supuestos Generales'!$B$37*(Ingresos!AS11+Ingresos!AS12+Ingresos!AS13+Ingresos!AS16+(Ingresos!AS14+Ingresos!AS15)*'Supuestos Generales'!$B$33*'Supuestos Generales'!$B$36)</f>
        <v/>
      </c>
      <c r="AT33" s="194">
        <f>'Supuestos Generales'!$B$37*(Ingresos!AT11+Ingresos!AT12+Ingresos!AT13+Ingresos!AT16+(Ingresos!AT14+Ingresos!AT15)*'Supuestos Generales'!$B$33*'Supuestos Generales'!$B$36)</f>
        <v/>
      </c>
      <c r="AU33" s="194">
        <f>'Supuestos Generales'!$B$37*(Ingresos!AU11+Ingresos!AU12+Ingresos!AU13+Ingresos!AU16+(Ingresos!AU14+Ingresos!AU15)*'Supuestos Generales'!$B$33*'Supuestos Generales'!$B$36)</f>
        <v/>
      </c>
      <c r="AV33" s="194">
        <f>'Supuestos Generales'!$B$37*(Ingresos!AV11+Ingresos!AV12+Ingresos!AV13+Ingresos!AV16+(Ingresos!AV14+Ingresos!AV15)*'Supuestos Generales'!$B$33*'Supuestos Generales'!$B$36)</f>
        <v/>
      </c>
      <c r="AW33" s="194">
        <f>'Supuestos Generales'!$B$37*(Ingresos!AW11+Ingresos!AW12+Ingresos!AW13+Ingresos!AW16+(Ingresos!AW14+Ingresos!AW15)*'Supuestos Generales'!$B$33*'Supuestos Generales'!$B$36)</f>
        <v/>
      </c>
      <c r="AX33" s="194">
        <f>'Supuestos Generales'!$B$37*(Ingresos!AX11+Ingresos!AX12+Ingresos!AX13+Ingresos!AX16+(Ingresos!AX14+Ingresos!AX15)*'Supuestos Generales'!$B$33*'Supuestos Generales'!$B$36)</f>
        <v/>
      </c>
      <c r="AY33" s="194">
        <f>'Supuestos Generales'!$B$37*(Ingresos!AY11+Ingresos!AY12+Ingresos!AY13+Ingresos!AY16+(Ingresos!AY14+Ingresos!AY15)*'Supuestos Generales'!$B$33*'Supuestos Generales'!$B$36)</f>
        <v/>
      </c>
      <c r="AZ33" s="194">
        <f>'Supuestos Generales'!$B$37*(Ingresos!AZ11+Ingresos!AZ12+Ingresos!AZ13+Ingresos!AZ16+(Ingresos!AZ14+Ingresos!AZ15)*'Supuestos Generales'!$B$33*'Supuestos Generales'!$B$36)</f>
        <v/>
      </c>
      <c r="BA33" s="194">
        <f>'Supuestos Generales'!$B$37*(Ingresos!BA11+Ingresos!BA12+Ingresos!BA13+Ingresos!BA16+(Ingresos!BA14+Ingresos!BA15)*'Supuestos Generales'!$B$33*'Supuestos Generales'!$B$36)</f>
        <v/>
      </c>
      <c r="BB33" s="194">
        <f>'Supuestos Generales'!$B$37*(Ingresos!BB11+Ingresos!BB12+Ingresos!BB13+Ingresos!BB16+(Ingresos!BB14+Ingresos!BB15)*'Supuestos Generales'!$B$33*'Supuestos Generales'!$B$36)</f>
        <v/>
      </c>
      <c r="BC33" s="194">
        <f>'Supuestos Generales'!$B$37*(Ingresos!BC11+Ingresos!BC12+Ingresos!BC13+Ingresos!BC16+(Ingresos!BC14+Ingresos!BC15)*'Supuestos Generales'!$B$33*'Supuestos Generales'!$B$36)</f>
        <v/>
      </c>
      <c r="BD33" s="194">
        <f>'Supuestos Generales'!$B$37*(Ingresos!BD11+Ingresos!BD12+Ingresos!BD13+Ingresos!BD16+(Ingresos!BD14+Ingresos!BD15)*'Supuestos Generales'!$B$33*'Supuestos Generales'!$B$36)</f>
        <v/>
      </c>
      <c r="BE33" s="194">
        <f>'Supuestos Generales'!$B$37*(Ingresos!BE11+Ingresos!BE12+Ingresos!BE13+Ingresos!BE16+(Ingresos!BE14+Ingresos!BE15)*'Supuestos Generales'!$B$33*'Supuestos Generales'!$B$36)</f>
        <v/>
      </c>
      <c r="BF33" s="194">
        <f>'Supuestos Generales'!$B$37*(Ingresos!BF11+Ingresos!BF12+Ingresos!BF13+Ingresos!BF16+(Ingresos!BF14+Ingresos!BF15)*'Supuestos Generales'!$B$33*'Supuestos Generales'!$B$36)</f>
        <v/>
      </c>
      <c r="BG33" s="194">
        <f>'Supuestos Generales'!$B$37*(Ingresos!BG11+Ingresos!BG12+Ingresos!BG13+Ingresos!BG16+(Ingresos!BG14+Ingresos!BG15)*'Supuestos Generales'!$B$33*'Supuestos Generales'!$B$36)</f>
        <v/>
      </c>
      <c r="BH33" s="194">
        <f>'Supuestos Generales'!$B$37*(Ingresos!BH11+Ingresos!BH12+Ingresos!BH13+Ingresos!BH16+(Ingresos!BH14+Ingresos!BH15)*'Supuestos Generales'!$B$33*'Supuestos Generales'!$B$36)</f>
        <v/>
      </c>
      <c r="BI33" s="194">
        <f>'Supuestos Generales'!$B$37*(Ingresos!BI11+Ingresos!BI12+Ingresos!BI13+Ingresos!BI16+(Ingresos!BI14+Ingresos!BI15)*'Supuestos Generales'!$B$33*'Supuestos Generales'!$B$36)</f>
        <v/>
      </c>
      <c r="BJ33" s="194">
        <f>'Supuestos Generales'!$B$37*(Ingresos!BJ11+Ingresos!BJ12+Ingresos!BJ13+Ingresos!BJ16+(Ingresos!BJ14+Ingresos!BJ15)*'Supuestos Generales'!$B$33*'Supuestos Generales'!$B$36)</f>
        <v/>
      </c>
    </row>
    <row r="34">
      <c r="A34" s="43" t="inlineStr">
        <is>
          <t>TOTAL COSTOS DIRECTOS</t>
        </is>
      </c>
      <c r="B34" s="53">
        <f>SUM(B6:B9)+B19+B26+B32+B33</f>
        <v/>
      </c>
      <c r="C34" s="53">
        <f>SUM(C6:C9)+C19+C26+C32+C33</f>
        <v/>
      </c>
      <c r="D34" s="53">
        <f>SUM(D6:D9)+D19+D26+D32+D33</f>
        <v/>
      </c>
      <c r="E34" s="53">
        <f>SUM(E6:E9)+E19+E26+E32+E33</f>
        <v/>
      </c>
      <c r="F34" s="53">
        <f>SUM(F6:F9)+F19+F26+F32+F33</f>
        <v/>
      </c>
      <c r="G34" s="53">
        <f>SUM(G6:G9)+G19+G26+G32+G33</f>
        <v/>
      </c>
      <c r="H34" s="53">
        <f>SUM(H6:H9)+H19+H26+H32+H33</f>
        <v/>
      </c>
      <c r="I34" s="53">
        <f>SUM(I6:I9)+I19+I26+I32+I33</f>
        <v/>
      </c>
      <c r="J34" s="53">
        <f>SUM(J6:J9)+J19+J26+J32+J33</f>
        <v/>
      </c>
      <c r="K34" s="53">
        <f>SUM(K6:K9)+K19+K26+K32+K33</f>
        <v/>
      </c>
      <c r="L34" s="53">
        <f>SUM(L6:L9)+L19+L26+L32+L33</f>
        <v/>
      </c>
      <c r="M34" s="53">
        <f>SUM(M6:M9)+M19+M26+M32+M33</f>
        <v/>
      </c>
      <c r="N34" s="53">
        <f>SUM(N6:N9)+N19+N26+N32+N33</f>
        <v/>
      </c>
      <c r="O34" s="53">
        <f>SUM(O6:O9)+O19+O26+O32+O33</f>
        <v/>
      </c>
      <c r="P34" s="53">
        <f>SUM(P6:P9)+P19+P26+P32+P33</f>
        <v/>
      </c>
      <c r="Q34" s="53">
        <f>SUM(Q6:Q9)+Q19+Q26+Q32+Q33</f>
        <v/>
      </c>
      <c r="R34" s="53">
        <f>SUM(R6:R9)+R19+R26+R32+R33</f>
        <v/>
      </c>
      <c r="S34" s="53">
        <f>SUM(S6:S9)+S19+S26+S32+S33</f>
        <v/>
      </c>
      <c r="T34" s="53">
        <f>SUM(T6:T9)+T19+T26+T32+T33</f>
        <v/>
      </c>
      <c r="U34" s="53">
        <f>SUM(U6:U9)+U19+U26+U32+U33</f>
        <v/>
      </c>
      <c r="V34" s="53">
        <f>SUM(V6:V9)+V19+V26+V32+V33</f>
        <v/>
      </c>
      <c r="W34" s="53">
        <f>SUM(W6:W9)+W19+W26+W32+W33</f>
        <v/>
      </c>
      <c r="X34" s="53">
        <f>SUM(X6:X9)+X19+X26+X32+X33</f>
        <v/>
      </c>
      <c r="Y34" s="53">
        <f>SUM(Y6:Y9)+Y19+Y26+Y32+Y33</f>
        <v/>
      </c>
      <c r="Z34" s="53">
        <f>SUM(Z6:Z9)+Z19+Z26+Z32+Z33</f>
        <v/>
      </c>
      <c r="AA34" s="53">
        <f>SUM(AA6:AA9)+AA19+AA26+AA32+AA33</f>
        <v/>
      </c>
      <c r="AB34" s="53">
        <f>SUM(AB6:AB9)+AB19+AB26+AB32+AB33</f>
        <v/>
      </c>
      <c r="AC34" s="53">
        <f>SUM(AC6:AC9)+AC19+AC26+AC32+AC33</f>
        <v/>
      </c>
      <c r="AD34" s="53">
        <f>SUM(AD6:AD9)+AD19+AD26+AD32+AD33</f>
        <v/>
      </c>
      <c r="AE34" s="53">
        <f>SUM(AE6:AE9)+AE19+AE26+AE32+AE33</f>
        <v/>
      </c>
      <c r="AF34" s="53">
        <f>SUM(AF6:AF9)+AF19+AF26+AF32+AF33</f>
        <v/>
      </c>
      <c r="AG34" s="53">
        <f>SUM(AG6:AG9)+AG19+AG26+AG32+AG33</f>
        <v/>
      </c>
      <c r="AH34" s="53">
        <f>SUM(AH6:AH9)+AH19+AH26+AH32+AH33</f>
        <v/>
      </c>
      <c r="AI34" s="53">
        <f>SUM(AI6:AI9)+AI19+AI26+AI32+AI33</f>
        <v/>
      </c>
      <c r="AJ34" s="53">
        <f>SUM(AJ6:AJ9)+AJ19+AJ26+AJ32+AJ33</f>
        <v/>
      </c>
      <c r="AK34" s="53">
        <f>SUM(AK6:AK9)+AK19+AK26+AK32+AK33</f>
        <v/>
      </c>
      <c r="AL34" s="53">
        <f>SUM(AL6:AL9)+AL19+AL26+AL32+AL33</f>
        <v/>
      </c>
      <c r="AM34" s="53">
        <f>SUM(AM6:AM9)+AM19+AM26+AM32+AM33</f>
        <v/>
      </c>
      <c r="AN34" s="53">
        <f>SUM(AN6:AN9)+AN19+AN26+AN32+AN33</f>
        <v/>
      </c>
      <c r="AO34" s="53">
        <f>SUM(AO6:AO9)+AO19+AO26+AO32+AO33</f>
        <v/>
      </c>
      <c r="AP34" s="53">
        <f>SUM(AP6:AP9)+AP19+AP26+AP32+AP33</f>
        <v/>
      </c>
      <c r="AQ34" s="53">
        <f>SUM(AQ6:AQ9)+AQ19+AQ26+AQ32+AQ33</f>
        <v/>
      </c>
      <c r="AR34" s="53">
        <f>SUM(AR6:AR9)+AR19+AR26+AR32+AR33</f>
        <v/>
      </c>
      <c r="AS34" s="53">
        <f>SUM(AS6:AS9)+AS19+AS26+AS32+AS33</f>
        <v/>
      </c>
      <c r="AT34" s="53">
        <f>SUM(AT6:AT9)+AT19+AT26+AT32+AT33</f>
        <v/>
      </c>
      <c r="AU34" s="53">
        <f>SUM(AU6:AU9)+AU19+AU26+AU32+AU33</f>
        <v/>
      </c>
      <c r="AV34" s="53">
        <f>SUM(AV6:AV9)+AV19+AV26+AV32+AV33</f>
        <v/>
      </c>
      <c r="AW34" s="53">
        <f>SUM(AW6:AW9)+AW19+AW26+AW32+AW33</f>
        <v/>
      </c>
      <c r="AX34" s="53">
        <f>SUM(AX6:AX9)+AX19+AX26+AX32+AX33</f>
        <v/>
      </c>
      <c r="AY34" s="53">
        <f>SUM(AY6:AY9)+AY19+AY26+AY32+AY33</f>
        <v/>
      </c>
      <c r="AZ34" s="53">
        <f>SUM(AZ6:AZ9)+AZ19+AZ26+AZ32+AZ33</f>
        <v/>
      </c>
      <c r="BA34" s="53">
        <f>SUM(BA6:BA9)+BA19+BA26+BA32+BA33</f>
        <v/>
      </c>
      <c r="BB34" s="53">
        <f>SUM(BB6:BB9)+BB19+BB26+BB32+BB33</f>
        <v/>
      </c>
      <c r="BC34" s="53">
        <f>SUM(BC6:BC9)+BC19+BC26+BC32+BC33</f>
        <v/>
      </c>
      <c r="BD34" s="53">
        <f>SUM(BD6:BD9)+BD19+BD26+BD32+BD33</f>
        <v/>
      </c>
      <c r="BE34" s="53">
        <f>SUM(BE6:BE9)+BE19+BE26+BE32+BE33</f>
        <v/>
      </c>
      <c r="BF34" s="53">
        <f>SUM(BF6:BF9)+BF19+BF26+BF32+BF33</f>
        <v/>
      </c>
      <c r="BG34" s="53">
        <f>SUM(BG6:BG9)+BG19+BG26+BG32+BG33</f>
        <v/>
      </c>
      <c r="BH34" s="53">
        <f>SUM(BH6:BH9)+BH19+BH26+BH32+BH33</f>
        <v/>
      </c>
      <c r="BI34" s="53">
        <f>SUM(BI6:BI9)+BI19+BI26+BI32+BI33</f>
        <v/>
      </c>
      <c r="BJ34" s="53">
        <f>SUM(B34:BI34)</f>
        <v/>
      </c>
    </row>
    <row r="36">
      <c r="A36" s="22" t="inlineStr">
        <is>
          <t>MÁRGENES</t>
        </is>
      </c>
    </row>
    <row r="37">
      <c r="A37" s="35" t="inlineStr">
        <is>
          <t>Ingresos Totales (ref)</t>
        </is>
      </c>
      <c r="B37" s="54">
        <f>Ingresos!B19</f>
        <v/>
      </c>
      <c r="C37" s="54">
        <f>Ingresos!C19</f>
        <v/>
      </c>
      <c r="D37" s="54">
        <f>Ingresos!D19</f>
        <v/>
      </c>
      <c r="E37" s="54">
        <f>Ingresos!E19</f>
        <v/>
      </c>
      <c r="F37" s="54">
        <f>Ingresos!F19</f>
        <v/>
      </c>
      <c r="G37" s="54">
        <f>Ingresos!G19</f>
        <v/>
      </c>
      <c r="H37" s="54">
        <f>Ingresos!H19</f>
        <v/>
      </c>
      <c r="I37" s="54">
        <f>Ingresos!I19</f>
        <v/>
      </c>
      <c r="J37" s="54">
        <f>Ingresos!J19</f>
        <v/>
      </c>
      <c r="K37" s="54">
        <f>Ingresos!K19</f>
        <v/>
      </c>
      <c r="L37" s="54">
        <f>Ingresos!L19</f>
        <v/>
      </c>
      <c r="M37" s="54">
        <f>Ingresos!M19</f>
        <v/>
      </c>
      <c r="N37" s="54">
        <f>Ingresos!N19</f>
        <v/>
      </c>
      <c r="O37" s="54">
        <f>Ingresos!O19</f>
        <v/>
      </c>
      <c r="P37" s="54">
        <f>Ingresos!P19</f>
        <v/>
      </c>
      <c r="Q37" s="54">
        <f>Ingresos!Q19</f>
        <v/>
      </c>
      <c r="R37" s="54">
        <f>Ingresos!R19</f>
        <v/>
      </c>
      <c r="S37" s="54">
        <f>Ingresos!S19</f>
        <v/>
      </c>
      <c r="T37" s="54">
        <f>Ingresos!T19</f>
        <v/>
      </c>
      <c r="U37" s="54">
        <f>Ingresos!U19</f>
        <v/>
      </c>
      <c r="V37" s="54">
        <f>Ingresos!V19</f>
        <v/>
      </c>
      <c r="W37" s="54">
        <f>Ingresos!W19</f>
        <v/>
      </c>
      <c r="X37" s="54">
        <f>Ingresos!X19</f>
        <v/>
      </c>
      <c r="Y37" s="54">
        <f>Ingresos!Y19</f>
        <v/>
      </c>
      <c r="Z37" s="54">
        <f>Ingresos!Z19</f>
        <v/>
      </c>
      <c r="AA37" s="54">
        <f>Ingresos!AA19</f>
        <v/>
      </c>
      <c r="AB37" s="54">
        <f>Ingresos!AB19</f>
        <v/>
      </c>
      <c r="AC37" s="54">
        <f>Ingresos!AC19</f>
        <v/>
      </c>
      <c r="AD37" s="54">
        <f>Ingresos!AD19</f>
        <v/>
      </c>
      <c r="AE37" s="54">
        <f>Ingresos!AE19</f>
        <v/>
      </c>
      <c r="AF37" s="54">
        <f>Ingresos!AF19</f>
        <v/>
      </c>
      <c r="AG37" s="54">
        <f>Ingresos!AG19</f>
        <v/>
      </c>
      <c r="AH37" s="54">
        <f>Ingresos!AH19</f>
        <v/>
      </c>
      <c r="AI37" s="54">
        <f>Ingresos!AI19</f>
        <v/>
      </c>
      <c r="AJ37" s="54">
        <f>Ingresos!AJ19</f>
        <v/>
      </c>
      <c r="AK37" s="54">
        <f>Ingresos!AK19</f>
        <v/>
      </c>
      <c r="AL37" s="54">
        <f>Ingresos!AL19</f>
        <v/>
      </c>
      <c r="AM37" s="54">
        <f>Ingresos!AM19</f>
        <v/>
      </c>
      <c r="AN37" s="54">
        <f>Ingresos!AN19</f>
        <v/>
      </c>
      <c r="AO37" s="54">
        <f>Ingresos!AO19</f>
        <v/>
      </c>
      <c r="AP37" s="54">
        <f>Ingresos!AP19</f>
        <v/>
      </c>
      <c r="AQ37" s="54">
        <f>Ingresos!AQ19</f>
        <v/>
      </c>
      <c r="AR37" s="54">
        <f>Ingresos!AR19</f>
        <v/>
      </c>
      <c r="AS37" s="54">
        <f>Ingresos!AS19</f>
        <v/>
      </c>
      <c r="AT37" s="54">
        <f>Ingresos!AT19</f>
        <v/>
      </c>
      <c r="AU37" s="54">
        <f>Ingresos!AU19</f>
        <v/>
      </c>
      <c r="AV37" s="54">
        <f>Ingresos!AV19</f>
        <v/>
      </c>
      <c r="AW37" s="54">
        <f>Ingresos!AW19</f>
        <v/>
      </c>
      <c r="AX37" s="54">
        <f>Ingresos!AX19</f>
        <v/>
      </c>
      <c r="AY37" s="54">
        <f>Ingresos!AY19</f>
        <v/>
      </c>
      <c r="AZ37" s="54">
        <f>Ingresos!AZ19</f>
        <v/>
      </c>
      <c r="BA37" s="54">
        <f>Ingresos!BA19</f>
        <v/>
      </c>
      <c r="BB37" s="54">
        <f>Ingresos!BB19</f>
        <v/>
      </c>
      <c r="BC37" s="54">
        <f>Ingresos!BC19</f>
        <v/>
      </c>
      <c r="BD37" s="54">
        <f>Ingresos!BD19</f>
        <v/>
      </c>
      <c r="BE37" s="54">
        <f>Ingresos!BE19</f>
        <v/>
      </c>
      <c r="BF37" s="54">
        <f>Ingresos!BF19</f>
        <v/>
      </c>
      <c r="BG37" s="54">
        <f>Ingresos!BG19</f>
        <v/>
      </c>
      <c r="BH37" s="54">
        <f>Ingresos!BH19</f>
        <v/>
      </c>
      <c r="BI37" s="54">
        <f>Ingresos!BI19</f>
        <v/>
      </c>
      <c r="BJ37" s="54">
        <f>SUM(B37:BI37)</f>
        <v/>
      </c>
    </row>
    <row r="38">
      <c r="A38" s="25" t="inlineStr">
        <is>
          <t>Margen Bruto ($)</t>
        </is>
      </c>
      <c r="B38" s="51">
        <f>B37-B34</f>
        <v/>
      </c>
      <c r="C38" s="51">
        <f>C37-C34</f>
        <v/>
      </c>
      <c r="D38" s="51">
        <f>D37-D34</f>
        <v/>
      </c>
      <c r="E38" s="51">
        <f>E37-E34</f>
        <v/>
      </c>
      <c r="F38" s="51">
        <f>F37-F34</f>
        <v/>
      </c>
      <c r="G38" s="51">
        <f>G37-G34</f>
        <v/>
      </c>
      <c r="H38" s="51">
        <f>H37-H34</f>
        <v/>
      </c>
      <c r="I38" s="51">
        <f>I37-I34</f>
        <v/>
      </c>
      <c r="J38" s="51">
        <f>J37-J34</f>
        <v/>
      </c>
      <c r="K38" s="51">
        <f>K37-K34</f>
        <v/>
      </c>
      <c r="L38" s="51">
        <f>L37-L34</f>
        <v/>
      </c>
      <c r="M38" s="51">
        <f>M37-M34</f>
        <v/>
      </c>
      <c r="N38" s="51">
        <f>N37-N34</f>
        <v/>
      </c>
      <c r="O38" s="51">
        <f>O37-O34</f>
        <v/>
      </c>
      <c r="P38" s="51">
        <f>P37-P34</f>
        <v/>
      </c>
      <c r="Q38" s="51">
        <f>Q37-Q34</f>
        <v/>
      </c>
      <c r="R38" s="51">
        <f>R37-R34</f>
        <v/>
      </c>
      <c r="S38" s="51">
        <f>S37-S34</f>
        <v/>
      </c>
      <c r="T38" s="51">
        <f>T37-T34</f>
        <v/>
      </c>
      <c r="U38" s="51">
        <f>U37-U34</f>
        <v/>
      </c>
      <c r="V38" s="51">
        <f>V37-V34</f>
        <v/>
      </c>
      <c r="W38" s="51">
        <f>W37-W34</f>
        <v/>
      </c>
      <c r="X38" s="51">
        <f>X37-X34</f>
        <v/>
      </c>
      <c r="Y38" s="51">
        <f>Y37-Y34</f>
        <v/>
      </c>
      <c r="Z38" s="51">
        <f>Z37-Z34</f>
        <v/>
      </c>
      <c r="AA38" s="51">
        <f>AA37-AA34</f>
        <v/>
      </c>
      <c r="AB38" s="51">
        <f>AB37-AB34</f>
        <v/>
      </c>
      <c r="AC38" s="51">
        <f>AC37-AC34</f>
        <v/>
      </c>
      <c r="AD38" s="51">
        <f>AD37-AD34</f>
        <v/>
      </c>
      <c r="AE38" s="51">
        <f>AE37-AE34</f>
        <v/>
      </c>
      <c r="AF38" s="51">
        <f>AF37-AF34</f>
        <v/>
      </c>
      <c r="AG38" s="51">
        <f>AG37-AG34</f>
        <v/>
      </c>
      <c r="AH38" s="51">
        <f>AH37-AH34</f>
        <v/>
      </c>
      <c r="AI38" s="51">
        <f>AI37-AI34</f>
        <v/>
      </c>
      <c r="AJ38" s="51">
        <f>AJ37-AJ34</f>
        <v/>
      </c>
      <c r="AK38" s="51">
        <f>AK37-AK34</f>
        <v/>
      </c>
      <c r="AL38" s="51">
        <f>AL37-AL34</f>
        <v/>
      </c>
      <c r="AM38" s="51">
        <f>AM37-AM34</f>
        <v/>
      </c>
      <c r="AN38" s="51">
        <f>AN37-AN34</f>
        <v/>
      </c>
      <c r="AO38" s="51">
        <f>AO37-AO34</f>
        <v/>
      </c>
      <c r="AP38" s="51">
        <f>AP37-AP34</f>
        <v/>
      </c>
      <c r="AQ38" s="51">
        <f>AQ37-AQ34</f>
        <v/>
      </c>
      <c r="AR38" s="51">
        <f>AR37-AR34</f>
        <v/>
      </c>
      <c r="AS38" s="51">
        <f>AS37-AS34</f>
        <v/>
      </c>
      <c r="AT38" s="51">
        <f>AT37-AT34</f>
        <v/>
      </c>
      <c r="AU38" s="51">
        <f>AU37-AU34</f>
        <v/>
      </c>
      <c r="AV38" s="51">
        <f>AV37-AV34</f>
        <v/>
      </c>
      <c r="AW38" s="51">
        <f>AW37-AW34</f>
        <v/>
      </c>
      <c r="AX38" s="51">
        <f>AX37-AX34</f>
        <v/>
      </c>
      <c r="AY38" s="51">
        <f>AY37-AY34</f>
        <v/>
      </c>
      <c r="AZ38" s="51">
        <f>AZ37-AZ34</f>
        <v/>
      </c>
      <c r="BA38" s="51">
        <f>BA37-BA34</f>
        <v/>
      </c>
      <c r="BB38" s="51">
        <f>BB37-BB34</f>
        <v/>
      </c>
      <c r="BC38" s="51">
        <f>BC37-BC34</f>
        <v/>
      </c>
      <c r="BD38" s="51">
        <f>BD37-BD34</f>
        <v/>
      </c>
      <c r="BE38" s="51">
        <f>BE37-BE34</f>
        <v/>
      </c>
      <c r="BF38" s="51">
        <f>BF37-BF34</f>
        <v/>
      </c>
      <c r="BG38" s="51">
        <f>BG37-BG34</f>
        <v/>
      </c>
      <c r="BH38" s="51">
        <f>BH37-BH34</f>
        <v/>
      </c>
      <c r="BI38" s="51">
        <f>BI37-BI34</f>
        <v/>
      </c>
      <c r="BJ38" s="51">
        <f>SUM(B38:BI38)</f>
        <v/>
      </c>
    </row>
    <row r="39">
      <c r="A39" s="25" t="inlineStr">
        <is>
          <t>Margen Bruto (%)</t>
        </is>
      </c>
      <c r="B39" s="759">
        <f>IF(B37=0,0,B38/B37)</f>
        <v/>
      </c>
      <c r="C39" s="759">
        <f>IF(C37=0,0,C38/C37)</f>
        <v/>
      </c>
      <c r="D39" s="759">
        <f>IF(D37=0,0,D38/D37)</f>
        <v/>
      </c>
      <c r="E39" s="759">
        <f>IF(E37=0,0,E38/E37)</f>
        <v/>
      </c>
      <c r="F39" s="759">
        <f>IF(F37=0,0,F38/F37)</f>
        <v/>
      </c>
      <c r="G39" s="759">
        <f>IF(G37=0,0,G38/G37)</f>
        <v/>
      </c>
      <c r="H39" s="759">
        <f>IF(H37=0,0,H38/H37)</f>
        <v/>
      </c>
      <c r="I39" s="759">
        <f>IF(I37=0,0,I38/I37)</f>
        <v/>
      </c>
      <c r="J39" s="759">
        <f>IF(J37=0,0,J38/J37)</f>
        <v/>
      </c>
      <c r="K39" s="759">
        <f>IF(K37=0,0,K38/K37)</f>
        <v/>
      </c>
      <c r="L39" s="759">
        <f>IF(L37=0,0,L38/L37)</f>
        <v/>
      </c>
      <c r="M39" s="759">
        <f>IF(M37=0,0,M38/M37)</f>
        <v/>
      </c>
      <c r="N39" s="759">
        <f>IF(N37=0,0,N38/N37)</f>
        <v/>
      </c>
      <c r="O39" s="759">
        <f>IF(O37=0,0,O38/O37)</f>
        <v/>
      </c>
      <c r="P39" s="759">
        <f>IF(P37=0,0,P38/P37)</f>
        <v/>
      </c>
      <c r="Q39" s="759">
        <f>IF(Q37=0,0,Q38/Q37)</f>
        <v/>
      </c>
      <c r="R39" s="759">
        <f>IF(R37=0,0,R38/R37)</f>
        <v/>
      </c>
      <c r="S39" s="759">
        <f>IF(S37=0,0,S38/S37)</f>
        <v/>
      </c>
      <c r="T39" s="759">
        <f>IF(T37=0,0,T38/T37)</f>
        <v/>
      </c>
      <c r="U39" s="759">
        <f>IF(U37=0,0,U38/U37)</f>
        <v/>
      </c>
      <c r="V39" s="759">
        <f>IF(V37=0,0,V38/V37)</f>
        <v/>
      </c>
      <c r="W39" s="759">
        <f>IF(W37=0,0,W38/W37)</f>
        <v/>
      </c>
      <c r="X39" s="759">
        <f>IF(X37=0,0,X38/X37)</f>
        <v/>
      </c>
      <c r="Y39" s="759">
        <f>IF(Y37=0,0,Y38/Y37)</f>
        <v/>
      </c>
      <c r="Z39" s="759">
        <f>IF(Z37=0,0,Z38/Z37)</f>
        <v/>
      </c>
      <c r="AA39" s="759">
        <f>IF(AA37=0,0,AA38/AA37)</f>
        <v/>
      </c>
      <c r="AB39" s="759">
        <f>IF(AB37=0,0,AB38/AB37)</f>
        <v/>
      </c>
      <c r="AC39" s="759">
        <f>IF(AC37=0,0,AC38/AC37)</f>
        <v/>
      </c>
      <c r="AD39" s="759">
        <f>IF(AD37=0,0,AD38/AD37)</f>
        <v/>
      </c>
      <c r="AE39" s="759">
        <f>IF(AE37=0,0,AE38/AE37)</f>
        <v/>
      </c>
      <c r="AF39" s="759">
        <f>IF(AF37=0,0,AF38/AF37)</f>
        <v/>
      </c>
      <c r="AG39" s="759">
        <f>IF(AG37=0,0,AG38/AG37)</f>
        <v/>
      </c>
      <c r="AH39" s="759">
        <f>IF(AH37=0,0,AH38/AH37)</f>
        <v/>
      </c>
      <c r="AI39" s="759">
        <f>IF(AI37=0,0,AI38/AI37)</f>
        <v/>
      </c>
      <c r="AJ39" s="759">
        <f>IF(AJ37=0,0,AJ38/AJ37)</f>
        <v/>
      </c>
      <c r="AK39" s="759">
        <f>IF(AK37=0,0,AK38/AK37)</f>
        <v/>
      </c>
      <c r="AL39" s="759">
        <f>IF(AL37=0,0,AL38/AL37)</f>
        <v/>
      </c>
      <c r="AM39" s="759">
        <f>IF(AM37=0,0,AM38/AM37)</f>
        <v/>
      </c>
      <c r="AN39" s="759">
        <f>IF(AN37=0,0,AN38/AN37)</f>
        <v/>
      </c>
      <c r="AO39" s="759">
        <f>IF(AO37=0,0,AO38/AO37)</f>
        <v/>
      </c>
      <c r="AP39" s="759">
        <f>IF(AP37=0,0,AP38/AP37)</f>
        <v/>
      </c>
      <c r="AQ39" s="759">
        <f>IF(AQ37=0,0,AQ38/AQ37)</f>
        <v/>
      </c>
      <c r="AR39" s="759">
        <f>IF(AR37=0,0,AR38/AR37)</f>
        <v/>
      </c>
      <c r="AS39" s="759">
        <f>IF(AS37=0,0,AS38/AS37)</f>
        <v/>
      </c>
      <c r="AT39" s="759">
        <f>IF(AT37=0,0,AT38/AT37)</f>
        <v/>
      </c>
      <c r="AU39" s="759">
        <f>IF(AU37=0,0,AU38/AU37)</f>
        <v/>
      </c>
      <c r="AV39" s="759">
        <f>IF(AV37=0,0,AV38/AV37)</f>
        <v/>
      </c>
      <c r="AW39" s="759">
        <f>IF(AW37=0,0,AW38/AW37)</f>
        <v/>
      </c>
      <c r="AX39" s="759">
        <f>IF(AX37=0,0,AX38/AX37)</f>
        <v/>
      </c>
      <c r="AY39" s="759">
        <f>IF(AY37=0,0,AY38/AY37)</f>
        <v/>
      </c>
      <c r="AZ39" s="759">
        <f>IF(AZ37=0,0,AZ38/AZ37)</f>
        <v/>
      </c>
      <c r="BA39" s="759">
        <f>IF(BA37=0,0,BA38/BA37)</f>
        <v/>
      </c>
      <c r="BB39" s="759">
        <f>IF(BB37=0,0,BB38/BB37)</f>
        <v/>
      </c>
      <c r="BC39" s="759">
        <f>IF(BC37=0,0,BC38/BC37)</f>
        <v/>
      </c>
      <c r="BD39" s="759">
        <f>IF(BD37=0,0,BD38/BD37)</f>
        <v/>
      </c>
      <c r="BE39" s="759">
        <f>IF(BE37=0,0,BE38/BE37)</f>
        <v/>
      </c>
      <c r="BF39" s="759">
        <f>IF(BF37=0,0,BF38/BF37)</f>
        <v/>
      </c>
      <c r="BG39" s="759">
        <f>IF(BG37=0,0,BG38/BG37)</f>
        <v/>
      </c>
      <c r="BH39" s="759">
        <f>IF(BH37=0,0,BH38/BH37)</f>
        <v/>
      </c>
      <c r="BI39" s="759">
        <f>IF(BI37=0,0,BI38/BI37)</f>
        <v/>
      </c>
      <c r="BJ39" s="759">
        <f>IF(BJ37=0,0,BJ38/BJ37)</f>
        <v/>
      </c>
    </row>
  </sheetData>
  <pageMargins left="0.7" right="0.7" top="0.75" bottom="0.75" header="0.3" footer="0.3"/>
  <pageSetup orientation="portrait" horizontalDpi="0" verticalDpi="0"/>
</worksheet>
</file>

<file path=xl/worksheets/sheet11.xml><?xml version="1.0" encoding="utf-8"?>
<worksheet xmlns="http://schemas.openxmlformats.org/spreadsheetml/2006/main">
  <sheetPr>
    <tabColor rgb="FF548235"/>
    <outlinePr summaryBelow="1" summaryRight="1"/>
    <pageSetUpPr/>
  </sheetPr>
  <dimension ref="A1:BJ37"/>
  <sheetViews>
    <sheetView workbookViewId="0">
      <pane xSplit="3" ySplit="26" topLeftCell="AX27" activePane="bottomRight" state="frozen"/>
      <selection pane="topRight" activeCell="D1" sqref="D1"/>
      <selection pane="bottomLeft" activeCell="A23" sqref="A23"/>
      <selection pane="bottomRight" activeCell="C15" sqref="C15"/>
    </sheetView>
  </sheetViews>
  <sheetFormatPr baseColWidth="10" defaultRowHeight="16"/>
  <cols>
    <col width="46.6640625" customWidth="1" min="1" max="1"/>
  </cols>
  <sheetData>
    <row r="1" ht="19" customHeight="1">
      <c r="A1" s="21" t="inlineStr">
        <is>
          <t>CAC Y GTM — Proyección Mensual</t>
        </is>
      </c>
    </row>
    <row r="3">
      <c r="A3" s="22" t="inlineStr">
        <is>
          <t>Concepto</t>
        </is>
      </c>
      <c r="B3" s="34" t="n">
        <v>1</v>
      </c>
      <c r="C3" s="34" t="n">
        <v>2</v>
      </c>
      <c r="D3" s="34" t="n">
        <v>3</v>
      </c>
      <c r="E3" s="34" t="n">
        <v>4</v>
      </c>
      <c r="F3" s="34" t="n">
        <v>5</v>
      </c>
      <c r="G3" s="34" t="n">
        <v>6</v>
      </c>
      <c r="H3" s="34" t="n">
        <v>7</v>
      </c>
      <c r="I3" s="34" t="n">
        <v>8</v>
      </c>
      <c r="J3" s="34" t="n">
        <v>9</v>
      </c>
      <c r="K3" s="34" t="n">
        <v>10</v>
      </c>
      <c r="L3" s="34" t="n">
        <v>11</v>
      </c>
      <c r="M3" s="34" t="n">
        <v>12</v>
      </c>
      <c r="N3" s="34" t="n">
        <v>13</v>
      </c>
      <c r="O3" s="34" t="n">
        <v>14</v>
      </c>
      <c r="P3" s="34" t="n">
        <v>15</v>
      </c>
      <c r="Q3" s="34" t="n">
        <v>16</v>
      </c>
      <c r="R3" s="34" t="n">
        <v>17</v>
      </c>
      <c r="S3" s="34" t="n">
        <v>18</v>
      </c>
      <c r="T3" s="34" t="n">
        <v>19</v>
      </c>
      <c r="U3" s="34" t="n">
        <v>20</v>
      </c>
      <c r="V3" s="34" t="n">
        <v>21</v>
      </c>
      <c r="W3" s="34" t="n">
        <v>22</v>
      </c>
      <c r="X3" s="34" t="n">
        <v>23</v>
      </c>
      <c r="Y3" s="34" t="n">
        <v>24</v>
      </c>
      <c r="Z3" s="34" t="n">
        <v>25</v>
      </c>
      <c r="AA3" s="34" t="n">
        <v>26</v>
      </c>
      <c r="AB3" s="34" t="n">
        <v>27</v>
      </c>
      <c r="AC3" s="34" t="n">
        <v>28</v>
      </c>
      <c r="AD3" s="34" t="n">
        <v>29</v>
      </c>
      <c r="AE3" s="34" t="n">
        <v>30</v>
      </c>
      <c r="AF3" s="34" t="n">
        <v>31</v>
      </c>
      <c r="AG3" s="34" t="n">
        <v>32</v>
      </c>
      <c r="AH3" s="34" t="n">
        <v>33</v>
      </c>
      <c r="AI3" s="34" t="n">
        <v>34</v>
      </c>
      <c r="AJ3" s="34" t="n">
        <v>35</v>
      </c>
      <c r="AK3" s="34" t="n">
        <v>36</v>
      </c>
      <c r="AL3" s="34" t="n">
        <v>37</v>
      </c>
      <c r="AM3" s="34" t="n">
        <v>38</v>
      </c>
      <c r="AN3" s="34" t="n">
        <v>39</v>
      </c>
      <c r="AO3" s="34" t="n">
        <v>40</v>
      </c>
      <c r="AP3" s="34" t="n">
        <v>41</v>
      </c>
      <c r="AQ3" s="34" t="n">
        <v>42</v>
      </c>
      <c r="AR3" s="34" t="n">
        <v>43</v>
      </c>
      <c r="AS3" s="34" t="n">
        <v>44</v>
      </c>
      <c r="AT3" s="34" t="n">
        <v>45</v>
      </c>
      <c r="AU3" s="34" t="n">
        <v>46</v>
      </c>
      <c r="AV3" s="34" t="n">
        <v>47</v>
      </c>
      <c r="AW3" s="34" t="n">
        <v>48</v>
      </c>
      <c r="AX3" s="34" t="n">
        <v>49</v>
      </c>
      <c r="AY3" s="34" t="n">
        <v>50</v>
      </c>
      <c r="AZ3" s="34" t="n">
        <v>51</v>
      </c>
      <c r="BA3" s="34" t="n">
        <v>52</v>
      </c>
      <c r="BB3" s="34" t="n">
        <v>53</v>
      </c>
      <c r="BC3" s="34" t="n">
        <v>54</v>
      </c>
      <c r="BD3" s="34" t="n">
        <v>55</v>
      </c>
      <c r="BE3" s="34" t="n">
        <v>56</v>
      </c>
      <c r="BF3" s="34" t="n">
        <v>57</v>
      </c>
      <c r="BG3" s="34" t="n">
        <v>58</v>
      </c>
      <c r="BH3" s="34" t="n">
        <v>59</v>
      </c>
      <c r="BI3" s="34" t="n">
        <v>60</v>
      </c>
      <c r="BJ3" s="48" t="inlineStr">
        <is>
          <t>TOTAL</t>
        </is>
      </c>
    </row>
    <row r="5">
      <c r="A5" s="22" t="inlineStr">
        <is>
          <t>COSTOS DE ADQUISICIÓN (DIRECTOS)</t>
        </is>
      </c>
    </row>
    <row r="6">
      <c r="A6" s="35" t="inlineStr">
        <is>
          <t>Restaurantes nuevos directos</t>
        </is>
      </c>
      <c r="B6" s="50">
        <f>Onboarding!B6</f>
        <v/>
      </c>
      <c r="C6" s="50">
        <f>Onboarding!C6</f>
        <v/>
      </c>
      <c r="D6" s="50">
        <f>Onboarding!D6</f>
        <v/>
      </c>
      <c r="E6" s="50">
        <f>Onboarding!E6</f>
        <v/>
      </c>
      <c r="F6" s="50">
        <f>Onboarding!F6</f>
        <v/>
      </c>
      <c r="G6" s="50">
        <f>Onboarding!G6</f>
        <v/>
      </c>
      <c r="H6" s="50">
        <f>Onboarding!H6</f>
        <v/>
      </c>
      <c r="I6" s="50">
        <f>Onboarding!I6</f>
        <v/>
      </c>
      <c r="J6" s="50">
        <f>Onboarding!J6</f>
        <v/>
      </c>
      <c r="K6" s="50">
        <f>Onboarding!K6</f>
        <v/>
      </c>
      <c r="L6" s="50">
        <f>Onboarding!L6</f>
        <v/>
      </c>
      <c r="M6" s="50">
        <f>Onboarding!M6</f>
        <v/>
      </c>
      <c r="N6" s="50">
        <f>Onboarding!N6</f>
        <v/>
      </c>
      <c r="O6" s="50">
        <f>Onboarding!O6</f>
        <v/>
      </c>
      <c r="P6" s="50">
        <f>Onboarding!P6</f>
        <v/>
      </c>
      <c r="Q6" s="50">
        <f>Onboarding!Q6</f>
        <v/>
      </c>
      <c r="R6" s="50">
        <f>Onboarding!R6</f>
        <v/>
      </c>
      <c r="S6" s="50">
        <f>Onboarding!S6</f>
        <v/>
      </c>
      <c r="T6" s="50">
        <f>Onboarding!T6</f>
        <v/>
      </c>
      <c r="U6" s="50">
        <f>Onboarding!U6</f>
        <v/>
      </c>
      <c r="V6" s="50">
        <f>Onboarding!V6</f>
        <v/>
      </c>
      <c r="W6" s="50">
        <f>Onboarding!W6</f>
        <v/>
      </c>
      <c r="X6" s="50">
        <f>Onboarding!X6</f>
        <v/>
      </c>
      <c r="Y6" s="50">
        <f>Onboarding!Y6</f>
        <v/>
      </c>
      <c r="Z6" s="50">
        <f>Onboarding!Z6</f>
        <v/>
      </c>
      <c r="AA6" s="50">
        <f>Onboarding!AA6</f>
        <v/>
      </c>
      <c r="AB6" s="50">
        <f>Onboarding!AB6</f>
        <v/>
      </c>
      <c r="AC6" s="50">
        <f>Onboarding!AC6</f>
        <v/>
      </c>
      <c r="AD6" s="50">
        <f>Onboarding!AD6</f>
        <v/>
      </c>
      <c r="AE6" s="50">
        <f>Onboarding!AE6</f>
        <v/>
      </c>
      <c r="AF6" s="50">
        <f>Onboarding!AF6</f>
        <v/>
      </c>
      <c r="AG6" s="50">
        <f>Onboarding!AG6</f>
        <v/>
      </c>
      <c r="AH6" s="50">
        <f>Onboarding!AH6</f>
        <v/>
      </c>
      <c r="AI6" s="50">
        <f>Onboarding!AI6</f>
        <v/>
      </c>
      <c r="AJ6" s="50">
        <f>Onboarding!AJ6</f>
        <v/>
      </c>
      <c r="AK6" s="50">
        <f>Onboarding!AK6</f>
        <v/>
      </c>
      <c r="AL6" s="50">
        <f>Onboarding!AL6</f>
        <v/>
      </c>
      <c r="AM6" s="50">
        <f>Onboarding!AM6</f>
        <v/>
      </c>
      <c r="AN6" s="50">
        <f>Onboarding!AN6</f>
        <v/>
      </c>
      <c r="AO6" s="50">
        <f>Onboarding!AO6</f>
        <v/>
      </c>
      <c r="AP6" s="50">
        <f>Onboarding!AP6</f>
        <v/>
      </c>
      <c r="AQ6" s="50">
        <f>Onboarding!AQ6</f>
        <v/>
      </c>
      <c r="AR6" s="50">
        <f>Onboarding!AR6</f>
        <v/>
      </c>
      <c r="AS6" s="50">
        <f>Onboarding!AS6</f>
        <v/>
      </c>
      <c r="AT6" s="50">
        <f>Onboarding!AT6</f>
        <v/>
      </c>
      <c r="AU6" s="50">
        <f>Onboarding!AU6</f>
        <v/>
      </c>
      <c r="AV6" s="50">
        <f>Onboarding!AV6</f>
        <v/>
      </c>
      <c r="AW6" s="50">
        <f>Onboarding!AW6</f>
        <v/>
      </c>
      <c r="AX6" s="50">
        <f>Onboarding!AX6</f>
        <v/>
      </c>
      <c r="AY6" s="50">
        <f>Onboarding!AY6</f>
        <v/>
      </c>
      <c r="AZ6" s="50">
        <f>Onboarding!AZ6</f>
        <v/>
      </c>
      <c r="BA6" s="50">
        <f>Onboarding!BA6</f>
        <v/>
      </c>
      <c r="BB6" s="50">
        <f>Onboarding!BB6</f>
        <v/>
      </c>
      <c r="BC6" s="50">
        <f>Onboarding!BC6</f>
        <v/>
      </c>
      <c r="BD6" s="50">
        <f>Onboarding!BD6</f>
        <v/>
      </c>
      <c r="BE6" s="50">
        <f>Onboarding!BE6</f>
        <v/>
      </c>
      <c r="BF6" s="50">
        <f>Onboarding!BF6</f>
        <v/>
      </c>
      <c r="BG6" s="50">
        <f>Onboarding!BG6</f>
        <v/>
      </c>
      <c r="BH6" s="50">
        <f>Onboarding!BH6</f>
        <v/>
      </c>
      <c r="BI6" s="50">
        <f>Onboarding!BI6</f>
        <v/>
      </c>
      <c r="BJ6" s="50">
        <f>SUM(B6:BI6)</f>
        <v/>
      </c>
    </row>
    <row r="7">
      <c r="A7" s="35" t="inlineStr">
        <is>
          <t>CAC unitario (según escenario)</t>
        </is>
      </c>
      <c r="B7" s="757">
        <f>IF('Supuestos Generales'!$B$94=1,'Supuestos Generales'!$B$88,'Supuestos Generales'!$B$89)</f>
        <v/>
      </c>
      <c r="C7" s="757">
        <f>IF('Supuestos Generales'!$B$94=1,'Supuestos Generales'!$B$88,'Supuestos Generales'!$B$89)</f>
        <v/>
      </c>
      <c r="D7" s="757">
        <f>IF('Supuestos Generales'!$B$94=1,'Supuestos Generales'!$B$88,'Supuestos Generales'!$B$89)</f>
        <v/>
      </c>
      <c r="E7" s="757">
        <f>IF('Supuestos Generales'!$B$94=1,'Supuestos Generales'!$B$88,'Supuestos Generales'!$B$89)</f>
        <v/>
      </c>
      <c r="F7" s="757">
        <f>IF('Supuestos Generales'!$B$94=1,'Supuestos Generales'!$B$88,'Supuestos Generales'!$B$89)</f>
        <v/>
      </c>
      <c r="G7" s="757">
        <f>IF('Supuestos Generales'!$B$94=1,'Supuestos Generales'!$B$88,'Supuestos Generales'!$B$89)</f>
        <v/>
      </c>
      <c r="H7" s="757">
        <f>IF('Supuestos Generales'!$B$94=1,'Supuestos Generales'!$B$88,'Supuestos Generales'!$B$89)</f>
        <v/>
      </c>
      <c r="I7" s="757">
        <f>IF('Supuestos Generales'!$B$94=1,'Supuestos Generales'!$B$88,'Supuestos Generales'!$B$89)</f>
        <v/>
      </c>
      <c r="J7" s="757">
        <f>IF('Supuestos Generales'!$B$94=1,'Supuestos Generales'!$B$88,'Supuestos Generales'!$B$89)</f>
        <v/>
      </c>
      <c r="K7" s="757">
        <f>IF('Supuestos Generales'!$B$94=1,'Supuestos Generales'!$B$88,'Supuestos Generales'!$B$89)</f>
        <v/>
      </c>
      <c r="L7" s="757">
        <f>IF('Supuestos Generales'!$B$94=1,'Supuestos Generales'!$B$88,'Supuestos Generales'!$B$89)</f>
        <v/>
      </c>
      <c r="M7" s="757">
        <f>IF('Supuestos Generales'!$B$94=1,'Supuestos Generales'!$B$88,'Supuestos Generales'!$B$89)</f>
        <v/>
      </c>
      <c r="N7" s="757">
        <f>IF('Supuestos Generales'!$B$94=1,'Supuestos Generales'!$B$88,'Supuestos Generales'!$B$89)</f>
        <v/>
      </c>
      <c r="O7" s="757">
        <f>IF('Supuestos Generales'!$B$94=1,'Supuestos Generales'!$B$88,'Supuestos Generales'!$B$89)</f>
        <v/>
      </c>
      <c r="P7" s="757">
        <f>IF('Supuestos Generales'!$B$94=1,'Supuestos Generales'!$B$88,'Supuestos Generales'!$B$89)</f>
        <v/>
      </c>
      <c r="Q7" s="757">
        <f>IF('Supuestos Generales'!$B$94=1,'Supuestos Generales'!$B$88,'Supuestos Generales'!$B$89)</f>
        <v/>
      </c>
      <c r="R7" s="757">
        <f>IF('Supuestos Generales'!$B$94=1,'Supuestos Generales'!$B$88,'Supuestos Generales'!$B$89)</f>
        <v/>
      </c>
      <c r="S7" s="757">
        <f>IF('Supuestos Generales'!$B$94=1,'Supuestos Generales'!$B$88,'Supuestos Generales'!$B$89)</f>
        <v/>
      </c>
      <c r="T7" s="757">
        <f>IF('Supuestos Generales'!$B$94=1,'Supuestos Generales'!$B$88,'Supuestos Generales'!$B$89)</f>
        <v/>
      </c>
      <c r="U7" s="757">
        <f>IF('Supuestos Generales'!$B$94=1,'Supuestos Generales'!$B$88,'Supuestos Generales'!$B$89)</f>
        <v/>
      </c>
      <c r="V7" s="757">
        <f>IF('Supuestos Generales'!$B$94=1,'Supuestos Generales'!$B$88,'Supuestos Generales'!$B$89)</f>
        <v/>
      </c>
      <c r="W7" s="757">
        <f>IF('Supuestos Generales'!$B$94=1,'Supuestos Generales'!$B$88,'Supuestos Generales'!$B$89)</f>
        <v/>
      </c>
      <c r="X7" s="757">
        <f>IF('Supuestos Generales'!$B$94=1,'Supuestos Generales'!$B$88,'Supuestos Generales'!$B$89)</f>
        <v/>
      </c>
      <c r="Y7" s="757">
        <f>IF('Supuestos Generales'!$B$94=1,'Supuestos Generales'!$B$88,'Supuestos Generales'!$B$89)</f>
        <v/>
      </c>
      <c r="Z7" s="757">
        <f>IF('Supuestos Generales'!$B$94=1,'Supuestos Generales'!$B$88,'Supuestos Generales'!$B$89)</f>
        <v/>
      </c>
      <c r="AA7" s="757">
        <f>IF('Supuestos Generales'!$B$94=1,'Supuestos Generales'!$B$88,'Supuestos Generales'!$B$89)</f>
        <v/>
      </c>
      <c r="AB7" s="757">
        <f>IF('Supuestos Generales'!$B$94=1,'Supuestos Generales'!$B$88,'Supuestos Generales'!$B$89)</f>
        <v/>
      </c>
      <c r="AC7" s="757">
        <f>IF('Supuestos Generales'!$B$94=1,'Supuestos Generales'!$B$88,'Supuestos Generales'!$B$89)</f>
        <v/>
      </c>
      <c r="AD7" s="757">
        <f>IF('Supuestos Generales'!$B$94=1,'Supuestos Generales'!$B$88,'Supuestos Generales'!$B$89)</f>
        <v/>
      </c>
      <c r="AE7" s="757">
        <f>IF('Supuestos Generales'!$B$94=1,'Supuestos Generales'!$B$88,'Supuestos Generales'!$B$89)</f>
        <v/>
      </c>
      <c r="AF7" s="757">
        <f>IF('Supuestos Generales'!$B$94=1,'Supuestos Generales'!$B$88,'Supuestos Generales'!$B$89)</f>
        <v/>
      </c>
      <c r="AG7" s="757">
        <f>IF('Supuestos Generales'!$B$94=1,'Supuestos Generales'!$B$88,'Supuestos Generales'!$B$89)</f>
        <v/>
      </c>
      <c r="AH7" s="757">
        <f>IF('Supuestos Generales'!$B$94=1,'Supuestos Generales'!$B$88,'Supuestos Generales'!$B$89)</f>
        <v/>
      </c>
      <c r="AI7" s="757">
        <f>IF('Supuestos Generales'!$B$94=1,'Supuestos Generales'!$B$88,'Supuestos Generales'!$B$89)</f>
        <v/>
      </c>
      <c r="AJ7" s="757">
        <f>IF('Supuestos Generales'!$B$94=1,'Supuestos Generales'!$B$88,'Supuestos Generales'!$B$89)</f>
        <v/>
      </c>
      <c r="AK7" s="757">
        <f>IF('Supuestos Generales'!$B$94=1,'Supuestos Generales'!$B$88,'Supuestos Generales'!$B$89)</f>
        <v/>
      </c>
      <c r="AL7" s="757">
        <f>IF('Supuestos Generales'!$B$94=1,'Supuestos Generales'!$B$88,'Supuestos Generales'!$B$89)</f>
        <v/>
      </c>
      <c r="AM7" s="757">
        <f>IF('Supuestos Generales'!$B$94=1,'Supuestos Generales'!$B$88,'Supuestos Generales'!$B$89)</f>
        <v/>
      </c>
      <c r="AN7" s="757">
        <f>IF('Supuestos Generales'!$B$94=1,'Supuestos Generales'!$B$88,'Supuestos Generales'!$B$89)</f>
        <v/>
      </c>
      <c r="AO7" s="757">
        <f>IF('Supuestos Generales'!$B$94=1,'Supuestos Generales'!$B$88,'Supuestos Generales'!$B$89)</f>
        <v/>
      </c>
      <c r="AP7" s="757">
        <f>IF('Supuestos Generales'!$B$94=1,'Supuestos Generales'!$B$88,'Supuestos Generales'!$B$89)</f>
        <v/>
      </c>
      <c r="AQ7" s="757">
        <f>IF('Supuestos Generales'!$B$94=1,'Supuestos Generales'!$B$88,'Supuestos Generales'!$B$89)</f>
        <v/>
      </c>
      <c r="AR7" s="757">
        <f>IF('Supuestos Generales'!$B$94=1,'Supuestos Generales'!$B$88,'Supuestos Generales'!$B$89)</f>
        <v/>
      </c>
      <c r="AS7" s="757">
        <f>IF('Supuestos Generales'!$B$94=1,'Supuestos Generales'!$B$88,'Supuestos Generales'!$B$89)</f>
        <v/>
      </c>
      <c r="AT7" s="757">
        <f>IF('Supuestos Generales'!$B$94=1,'Supuestos Generales'!$B$88,'Supuestos Generales'!$B$89)</f>
        <v/>
      </c>
      <c r="AU7" s="757">
        <f>IF('Supuestos Generales'!$B$94=1,'Supuestos Generales'!$B$88,'Supuestos Generales'!$B$89)</f>
        <v/>
      </c>
      <c r="AV7" s="757">
        <f>IF('Supuestos Generales'!$B$94=1,'Supuestos Generales'!$B$88,'Supuestos Generales'!$B$89)</f>
        <v/>
      </c>
      <c r="AW7" s="757">
        <f>IF('Supuestos Generales'!$B$94=1,'Supuestos Generales'!$B$88,'Supuestos Generales'!$B$89)</f>
        <v/>
      </c>
      <c r="AX7" s="757">
        <f>IF('Supuestos Generales'!$B$94=1,'Supuestos Generales'!$B$88,'Supuestos Generales'!$B$89)</f>
        <v/>
      </c>
      <c r="AY7" s="757">
        <f>IF('Supuestos Generales'!$B$94=1,'Supuestos Generales'!$B$88,'Supuestos Generales'!$B$89)</f>
        <v/>
      </c>
      <c r="AZ7" s="757">
        <f>IF('Supuestos Generales'!$B$94=1,'Supuestos Generales'!$B$88,'Supuestos Generales'!$B$89)</f>
        <v/>
      </c>
      <c r="BA7" s="757">
        <f>IF('Supuestos Generales'!$B$94=1,'Supuestos Generales'!$B$88,'Supuestos Generales'!$B$89)</f>
        <v/>
      </c>
      <c r="BB7" s="757">
        <f>IF('Supuestos Generales'!$B$94=1,'Supuestos Generales'!$B$88,'Supuestos Generales'!$B$89)</f>
        <v/>
      </c>
      <c r="BC7" s="757">
        <f>IF('Supuestos Generales'!$B$94=1,'Supuestos Generales'!$B$88,'Supuestos Generales'!$B$89)</f>
        <v/>
      </c>
      <c r="BD7" s="757">
        <f>IF('Supuestos Generales'!$B$94=1,'Supuestos Generales'!$B$88,'Supuestos Generales'!$B$89)</f>
        <v/>
      </c>
      <c r="BE7" s="757">
        <f>IF('Supuestos Generales'!$B$94=1,'Supuestos Generales'!$B$88,'Supuestos Generales'!$B$89)</f>
        <v/>
      </c>
      <c r="BF7" s="757">
        <f>IF('Supuestos Generales'!$B$94=1,'Supuestos Generales'!$B$88,'Supuestos Generales'!$B$89)</f>
        <v/>
      </c>
      <c r="BG7" s="757">
        <f>IF('Supuestos Generales'!$B$94=1,'Supuestos Generales'!$B$88,'Supuestos Generales'!$B$89)</f>
        <v/>
      </c>
      <c r="BH7" s="757">
        <f>IF('Supuestos Generales'!$B$94=1,'Supuestos Generales'!$B$88,'Supuestos Generales'!$B$89)</f>
        <v/>
      </c>
      <c r="BI7" s="757">
        <f>IF('Supuestos Generales'!$B$94=1,'Supuestos Generales'!$B$88,'Supuestos Generales'!$B$89)</f>
        <v/>
      </c>
      <c r="BJ7" s="56" t="inlineStr">
        <is>
          <t>N/A</t>
        </is>
      </c>
    </row>
    <row r="8">
      <c r="A8" s="25" t="inlineStr">
        <is>
          <t>Costo adquisición directos</t>
        </is>
      </c>
      <c r="B8" s="756">
        <f>B6*B7</f>
        <v/>
      </c>
      <c r="C8" s="756">
        <f>C6*C7</f>
        <v/>
      </c>
      <c r="D8" s="756">
        <f>D6*D7</f>
        <v/>
      </c>
      <c r="E8" s="756">
        <f>E6*E7</f>
        <v/>
      </c>
      <c r="F8" s="756">
        <f>F6*F7</f>
        <v/>
      </c>
      <c r="G8" s="756">
        <f>G6*G7</f>
        <v/>
      </c>
      <c r="H8" s="756">
        <f>H6*H7</f>
        <v/>
      </c>
      <c r="I8" s="756">
        <f>I6*I7</f>
        <v/>
      </c>
      <c r="J8" s="756">
        <f>J6*J7</f>
        <v/>
      </c>
      <c r="K8" s="756">
        <f>K6*K7</f>
        <v/>
      </c>
      <c r="L8" s="756">
        <f>L6*L7</f>
        <v/>
      </c>
      <c r="M8" s="756">
        <f>M6*M7</f>
        <v/>
      </c>
      <c r="N8" s="756">
        <f>N6*N7</f>
        <v/>
      </c>
      <c r="O8" s="756">
        <f>O6*O7</f>
        <v/>
      </c>
      <c r="P8" s="756">
        <f>P6*P7</f>
        <v/>
      </c>
      <c r="Q8" s="756">
        <f>Q6*Q7</f>
        <v/>
      </c>
      <c r="R8" s="756">
        <f>R6*R7</f>
        <v/>
      </c>
      <c r="S8" s="756">
        <f>S6*S7</f>
        <v/>
      </c>
      <c r="T8" s="756">
        <f>T6*T7</f>
        <v/>
      </c>
      <c r="U8" s="756">
        <f>U6*U7</f>
        <v/>
      </c>
      <c r="V8" s="756">
        <f>V6*V7</f>
        <v/>
      </c>
      <c r="W8" s="756">
        <f>W6*W7</f>
        <v/>
      </c>
      <c r="X8" s="756">
        <f>X6*X7</f>
        <v/>
      </c>
      <c r="Y8" s="756">
        <f>Y6*Y7</f>
        <v/>
      </c>
      <c r="Z8" s="756">
        <f>Z6*Z7</f>
        <v/>
      </c>
      <c r="AA8" s="756">
        <f>AA6*AA7</f>
        <v/>
      </c>
      <c r="AB8" s="756">
        <f>AB6*AB7</f>
        <v/>
      </c>
      <c r="AC8" s="756">
        <f>AC6*AC7</f>
        <v/>
      </c>
      <c r="AD8" s="756">
        <f>AD6*AD7</f>
        <v/>
      </c>
      <c r="AE8" s="756">
        <f>AE6*AE7</f>
        <v/>
      </c>
      <c r="AF8" s="756">
        <f>AF6*AF7</f>
        <v/>
      </c>
      <c r="AG8" s="756">
        <f>AG6*AG7</f>
        <v/>
      </c>
      <c r="AH8" s="756">
        <f>AH6*AH7</f>
        <v/>
      </c>
      <c r="AI8" s="756">
        <f>AI6*AI7</f>
        <v/>
      </c>
      <c r="AJ8" s="756">
        <f>AJ6*AJ7</f>
        <v/>
      </c>
      <c r="AK8" s="756">
        <f>AK6*AK7</f>
        <v/>
      </c>
      <c r="AL8" s="756">
        <f>AL6*AL7</f>
        <v/>
      </c>
      <c r="AM8" s="756">
        <f>AM6*AM7</f>
        <v/>
      </c>
      <c r="AN8" s="756">
        <f>AN6*AN7</f>
        <v/>
      </c>
      <c r="AO8" s="756">
        <f>AO6*AO7</f>
        <v/>
      </c>
      <c r="AP8" s="756">
        <f>AP6*AP7</f>
        <v/>
      </c>
      <c r="AQ8" s="756">
        <f>AQ6*AQ7</f>
        <v/>
      </c>
      <c r="AR8" s="756">
        <f>AR6*AR7</f>
        <v/>
      </c>
      <c r="AS8" s="756">
        <f>AS6*AS7</f>
        <v/>
      </c>
      <c r="AT8" s="756">
        <f>AT6*AT7</f>
        <v/>
      </c>
      <c r="AU8" s="756">
        <f>AU6*AU7</f>
        <v/>
      </c>
      <c r="AV8" s="756">
        <f>AV6*AV7</f>
        <v/>
      </c>
      <c r="AW8" s="756">
        <f>AW6*AW7</f>
        <v/>
      </c>
      <c r="AX8" s="756">
        <f>AX6*AX7</f>
        <v/>
      </c>
      <c r="AY8" s="756">
        <f>AY6*AY7</f>
        <v/>
      </c>
      <c r="AZ8" s="756">
        <f>AZ6*AZ7</f>
        <v/>
      </c>
      <c r="BA8" s="756">
        <f>BA6*BA7</f>
        <v/>
      </c>
      <c r="BB8" s="756">
        <f>BB6*BB7</f>
        <v/>
      </c>
      <c r="BC8" s="756">
        <f>BC6*BC7</f>
        <v/>
      </c>
      <c r="BD8" s="756">
        <f>BD6*BD7</f>
        <v/>
      </c>
      <c r="BE8" s="756">
        <f>BE6*BE7</f>
        <v/>
      </c>
      <c r="BF8" s="756">
        <f>BF6*BF7</f>
        <v/>
      </c>
      <c r="BG8" s="756">
        <f>BG6*BG7</f>
        <v/>
      </c>
      <c r="BH8" s="756">
        <f>BH6*BH7</f>
        <v/>
      </c>
      <c r="BI8" s="756">
        <f>BI6*BI7</f>
        <v/>
      </c>
      <c r="BJ8" s="756">
        <f>SUM(B8:BI8)</f>
        <v/>
      </c>
    </row>
    <row r="9">
      <c r="A9" s="22" t="inlineStr">
        <is>
          <t>COSTOS DE ADQUISICIÓN (ALIANZAS)</t>
        </is>
      </c>
      <c r="B9" s="756" t="n"/>
      <c r="C9" s="756" t="n"/>
      <c r="D9" s="756" t="n"/>
      <c r="E9" s="756" t="n"/>
      <c r="F9" s="756" t="n"/>
      <c r="G9" s="756" t="n"/>
      <c r="H9" s="756" t="n"/>
      <c r="I9" s="756" t="n"/>
      <c r="J9" s="756" t="n"/>
      <c r="K9" s="756" t="n"/>
      <c r="L9" s="756" t="n"/>
      <c r="M9" s="756" t="n"/>
      <c r="N9" s="756" t="n"/>
      <c r="O9" s="756" t="n"/>
      <c r="P9" s="756" t="n"/>
      <c r="Q9" s="756" t="n"/>
      <c r="R9" s="756" t="n"/>
      <c r="S9" s="756" t="n"/>
      <c r="T9" s="756" t="n"/>
      <c r="U9" s="756" t="n"/>
      <c r="V9" s="756" t="n"/>
      <c r="W9" s="756" t="n"/>
      <c r="X9" s="756" t="n"/>
      <c r="Y9" s="756" t="n"/>
      <c r="Z9" s="756" t="n"/>
      <c r="AA9" s="756" t="n"/>
      <c r="AB9" s="756" t="n"/>
      <c r="AC9" s="756" t="n"/>
      <c r="AD9" s="756" t="n"/>
      <c r="AE9" s="756" t="n"/>
      <c r="AF9" s="756" t="n"/>
      <c r="AG9" s="756" t="n"/>
      <c r="AH9" s="756" t="n"/>
      <c r="AI9" s="756" t="n"/>
      <c r="AJ9" s="756" t="n"/>
      <c r="AK9" s="756" t="n"/>
      <c r="AL9" s="756" t="n"/>
      <c r="AM9" s="756" t="n"/>
      <c r="AN9" s="756" t="n"/>
      <c r="AO9" s="756" t="n"/>
      <c r="AP9" s="756" t="n"/>
      <c r="AQ9" s="756" t="n"/>
      <c r="AR9" s="756" t="n"/>
      <c r="AS9" s="756" t="n"/>
      <c r="AT9" s="756" t="n"/>
      <c r="AU9" s="756" t="n"/>
      <c r="AV9" s="756" t="n"/>
      <c r="AW9" s="756" t="n"/>
      <c r="AX9" s="756" t="n"/>
      <c r="AY9" s="756" t="n"/>
      <c r="AZ9" s="756" t="n"/>
      <c r="BA9" s="756" t="n"/>
      <c r="BB9" s="756" t="n"/>
      <c r="BC9" s="756" t="n"/>
      <c r="BD9" s="756" t="n"/>
      <c r="BE9" s="756" t="n"/>
      <c r="BF9" s="756" t="n"/>
      <c r="BG9" s="756" t="n"/>
      <c r="BH9" s="756" t="n"/>
      <c r="BI9" s="756" t="n"/>
      <c r="BJ9" s="756" t="n"/>
    </row>
    <row r="10">
      <c r="A10" s="29" t="inlineStr">
        <is>
          <t>Restaurantes nuevos vía alianzas</t>
        </is>
      </c>
      <c r="B10" s="756">
        <f>Onboarding!B9</f>
        <v/>
      </c>
      <c r="C10" s="756">
        <f>Onboarding!C9</f>
        <v/>
      </c>
      <c r="D10" s="756">
        <f>Onboarding!D9</f>
        <v/>
      </c>
      <c r="E10" s="756">
        <f>Onboarding!E9</f>
        <v/>
      </c>
      <c r="F10" s="756">
        <f>Onboarding!F9</f>
        <v/>
      </c>
      <c r="G10" s="756">
        <f>Onboarding!G9</f>
        <v/>
      </c>
      <c r="H10" s="756">
        <f>Onboarding!H9</f>
        <v/>
      </c>
      <c r="I10" s="756">
        <f>Onboarding!I9</f>
        <v/>
      </c>
      <c r="J10" s="756">
        <f>Onboarding!J9</f>
        <v/>
      </c>
      <c r="K10" s="756">
        <f>Onboarding!K9</f>
        <v/>
      </c>
      <c r="L10" s="756">
        <f>Onboarding!L9</f>
        <v/>
      </c>
      <c r="M10" s="756">
        <f>Onboarding!M9</f>
        <v/>
      </c>
      <c r="N10" s="756">
        <f>Onboarding!N9</f>
        <v/>
      </c>
      <c r="O10" s="756">
        <f>Onboarding!O9</f>
        <v/>
      </c>
      <c r="P10" s="756">
        <f>Onboarding!P9</f>
        <v/>
      </c>
      <c r="Q10" s="756">
        <f>Onboarding!Q9</f>
        <v/>
      </c>
      <c r="R10" s="756">
        <f>Onboarding!R9</f>
        <v/>
      </c>
      <c r="S10" s="756">
        <f>Onboarding!S9</f>
        <v/>
      </c>
      <c r="T10" s="756">
        <f>Onboarding!T9</f>
        <v/>
      </c>
      <c r="U10" s="756">
        <f>Onboarding!U9</f>
        <v/>
      </c>
      <c r="V10" s="756">
        <f>Onboarding!V9</f>
        <v/>
      </c>
      <c r="W10" s="756">
        <f>Onboarding!W9</f>
        <v/>
      </c>
      <c r="X10" s="756">
        <f>Onboarding!X9</f>
        <v/>
      </c>
      <c r="Y10" s="756">
        <f>Onboarding!Y9</f>
        <v/>
      </c>
      <c r="Z10" s="756">
        <f>Onboarding!Z9</f>
        <v/>
      </c>
      <c r="AA10" s="756">
        <f>Onboarding!AA9</f>
        <v/>
      </c>
      <c r="AB10" s="756">
        <f>Onboarding!AB9</f>
        <v/>
      </c>
      <c r="AC10" s="756">
        <f>Onboarding!AC9</f>
        <v/>
      </c>
      <c r="AD10" s="756">
        <f>Onboarding!AD9</f>
        <v/>
      </c>
      <c r="AE10" s="756">
        <f>Onboarding!AE9</f>
        <v/>
      </c>
      <c r="AF10" s="756">
        <f>Onboarding!AF9</f>
        <v/>
      </c>
      <c r="AG10" s="756">
        <f>Onboarding!AG9</f>
        <v/>
      </c>
      <c r="AH10" s="756">
        <f>Onboarding!AH9</f>
        <v/>
      </c>
      <c r="AI10" s="756">
        <f>Onboarding!AI9</f>
        <v/>
      </c>
      <c r="AJ10" s="756">
        <f>Onboarding!AJ9</f>
        <v/>
      </c>
      <c r="AK10" s="756">
        <f>Onboarding!AK9</f>
        <v/>
      </c>
      <c r="AL10" s="756">
        <f>Onboarding!AL9</f>
        <v/>
      </c>
      <c r="AM10" s="756">
        <f>Onboarding!AM9</f>
        <v/>
      </c>
      <c r="AN10" s="756">
        <f>Onboarding!AN9</f>
        <v/>
      </c>
      <c r="AO10" s="756">
        <f>Onboarding!AO9</f>
        <v/>
      </c>
      <c r="AP10" s="756">
        <f>Onboarding!AP9</f>
        <v/>
      </c>
      <c r="AQ10" s="756">
        <f>Onboarding!AQ9</f>
        <v/>
      </c>
      <c r="AR10" s="756">
        <f>Onboarding!AR9</f>
        <v/>
      </c>
      <c r="AS10" s="756">
        <f>Onboarding!AS9</f>
        <v/>
      </c>
      <c r="AT10" s="756">
        <f>Onboarding!AT9</f>
        <v/>
      </c>
      <c r="AU10" s="756">
        <f>Onboarding!AU9</f>
        <v/>
      </c>
      <c r="AV10" s="756">
        <f>Onboarding!AV9</f>
        <v/>
      </c>
      <c r="AW10" s="756">
        <f>Onboarding!AW9</f>
        <v/>
      </c>
      <c r="AX10" s="756">
        <f>Onboarding!AX9</f>
        <v/>
      </c>
      <c r="AY10" s="756">
        <f>Onboarding!AY9</f>
        <v/>
      </c>
      <c r="AZ10" s="756">
        <f>Onboarding!AZ9</f>
        <v/>
      </c>
      <c r="BA10" s="756">
        <f>Onboarding!BA9</f>
        <v/>
      </c>
      <c r="BB10" s="756">
        <f>Onboarding!BB9</f>
        <v/>
      </c>
      <c r="BC10" s="756">
        <f>Onboarding!BC9</f>
        <v/>
      </c>
      <c r="BD10" s="756">
        <f>Onboarding!BD9</f>
        <v/>
      </c>
      <c r="BE10" s="756">
        <f>Onboarding!BE9</f>
        <v/>
      </c>
      <c r="BF10" s="756">
        <f>Onboarding!BF9</f>
        <v/>
      </c>
      <c r="BG10" s="756">
        <f>Onboarding!BG9</f>
        <v/>
      </c>
      <c r="BH10" s="756">
        <f>Onboarding!BH9</f>
        <v/>
      </c>
      <c r="BI10" s="756">
        <f>Onboarding!BI9</f>
        <v/>
      </c>
      <c r="BJ10" s="756" t="n"/>
    </row>
    <row r="11">
      <c r="A11" s="29" t="inlineStr">
        <is>
          <t>CAC unitario alianzas (mktg/remarketing)</t>
        </is>
      </c>
      <c r="B11" s="756">
        <f>Palancas!$B$9</f>
        <v/>
      </c>
      <c r="C11" s="756">
        <f>Palancas!$B$9</f>
        <v/>
      </c>
      <c r="D11" s="756">
        <f>Palancas!$B$9</f>
        <v/>
      </c>
      <c r="E11" s="756">
        <f>Palancas!$B$9</f>
        <v/>
      </c>
      <c r="F11" s="756">
        <f>Palancas!$B$9</f>
        <v/>
      </c>
      <c r="G11" s="756">
        <f>Palancas!$B$9</f>
        <v/>
      </c>
      <c r="H11" s="756">
        <f>Palancas!$B$9</f>
        <v/>
      </c>
      <c r="I11" s="756">
        <f>Palancas!$B$9</f>
        <v/>
      </c>
      <c r="J11" s="756">
        <f>Palancas!$B$9</f>
        <v/>
      </c>
      <c r="K11" s="756">
        <f>Palancas!$B$9</f>
        <v/>
      </c>
      <c r="L11" s="756">
        <f>Palancas!$B$9</f>
        <v/>
      </c>
      <c r="M11" s="756">
        <f>Palancas!$B$9</f>
        <v/>
      </c>
      <c r="N11" s="756">
        <f>Palancas!$B$9</f>
        <v/>
      </c>
      <c r="O11" s="756">
        <f>Palancas!$B$9</f>
        <v/>
      </c>
      <c r="P11" s="756">
        <f>Palancas!$B$9</f>
        <v/>
      </c>
      <c r="Q11" s="756">
        <f>Palancas!$B$9</f>
        <v/>
      </c>
      <c r="R11" s="756">
        <f>Palancas!$B$9</f>
        <v/>
      </c>
      <c r="S11" s="756">
        <f>Palancas!$B$9</f>
        <v/>
      </c>
      <c r="T11" s="756">
        <f>Palancas!$B$9</f>
        <v/>
      </c>
      <c r="U11" s="756">
        <f>Palancas!$B$9</f>
        <v/>
      </c>
      <c r="V11" s="756">
        <f>Palancas!$B$9</f>
        <v/>
      </c>
      <c r="W11" s="756">
        <f>Palancas!$B$9</f>
        <v/>
      </c>
      <c r="X11" s="756">
        <f>Palancas!$B$9</f>
        <v/>
      </c>
      <c r="Y11" s="756">
        <f>Palancas!$B$9</f>
        <v/>
      </c>
      <c r="Z11" s="756">
        <f>Palancas!$B$9</f>
        <v/>
      </c>
      <c r="AA11" s="756">
        <f>Palancas!$B$9</f>
        <v/>
      </c>
      <c r="AB11" s="756">
        <f>Palancas!$B$9</f>
        <v/>
      </c>
      <c r="AC11" s="756">
        <f>Palancas!$B$9</f>
        <v/>
      </c>
      <c r="AD11" s="756">
        <f>Palancas!$B$9</f>
        <v/>
      </c>
      <c r="AE11" s="756">
        <f>Palancas!$B$9</f>
        <v/>
      </c>
      <c r="AF11" s="756">
        <f>Palancas!$B$9</f>
        <v/>
      </c>
      <c r="AG11" s="756">
        <f>Palancas!$B$9</f>
        <v/>
      </c>
      <c r="AH11" s="756">
        <f>Palancas!$B$9</f>
        <v/>
      </c>
      <c r="AI11" s="756">
        <f>Palancas!$B$9</f>
        <v/>
      </c>
      <c r="AJ11" s="756">
        <f>Palancas!$B$9</f>
        <v/>
      </c>
      <c r="AK11" s="756">
        <f>Palancas!$B$9</f>
        <v/>
      </c>
      <c r="AL11" s="756">
        <f>Palancas!$B$9</f>
        <v/>
      </c>
      <c r="AM11" s="756">
        <f>Palancas!$B$9</f>
        <v/>
      </c>
      <c r="AN11" s="756">
        <f>Palancas!$B$9</f>
        <v/>
      </c>
      <c r="AO11" s="756">
        <f>Palancas!$B$9</f>
        <v/>
      </c>
      <c r="AP11" s="756">
        <f>Palancas!$B$9</f>
        <v/>
      </c>
      <c r="AQ11" s="756">
        <f>Palancas!$B$9</f>
        <v/>
      </c>
      <c r="AR11" s="756">
        <f>Palancas!$B$9</f>
        <v/>
      </c>
      <c r="AS11" s="756">
        <f>Palancas!$B$9</f>
        <v/>
      </c>
      <c r="AT11" s="756">
        <f>Palancas!$B$9</f>
        <v/>
      </c>
      <c r="AU11" s="756">
        <f>Palancas!$B$9</f>
        <v/>
      </c>
      <c r="AV11" s="756">
        <f>Palancas!$B$9</f>
        <v/>
      </c>
      <c r="AW11" s="756">
        <f>Palancas!$B$9</f>
        <v/>
      </c>
      <c r="AX11" s="756">
        <f>Palancas!$B$9</f>
        <v/>
      </c>
      <c r="AY11" s="756">
        <f>Palancas!$B$9</f>
        <v/>
      </c>
      <c r="AZ11" s="756">
        <f>Palancas!$B$9</f>
        <v/>
      </c>
      <c r="BA11" s="756">
        <f>Palancas!$B$9</f>
        <v/>
      </c>
      <c r="BB11" s="756">
        <f>Palancas!$B$9</f>
        <v/>
      </c>
      <c r="BC11" s="756">
        <f>Palancas!$B$9</f>
        <v/>
      </c>
      <c r="BD11" s="756">
        <f>Palancas!$B$9</f>
        <v/>
      </c>
      <c r="BE11" s="756">
        <f>Palancas!$B$9</f>
        <v/>
      </c>
      <c r="BF11" s="756">
        <f>Palancas!$B$9</f>
        <v/>
      </c>
      <c r="BG11" s="756">
        <f>Palancas!$B$9</f>
        <v/>
      </c>
      <c r="BH11" s="756">
        <f>Palancas!$B$9</f>
        <v/>
      </c>
      <c r="BI11" s="756">
        <f>Palancas!$B$9</f>
        <v/>
      </c>
      <c r="BJ11" s="756" t="n"/>
    </row>
    <row r="12">
      <c r="A12" s="25" t="inlineStr">
        <is>
          <t>Costo adquisición alianzas</t>
        </is>
      </c>
      <c r="B12" s="756">
        <f>B10*B11</f>
        <v/>
      </c>
      <c r="C12" s="756">
        <f>C10*C11</f>
        <v/>
      </c>
      <c r="D12" s="756">
        <f>D10*D11</f>
        <v/>
      </c>
      <c r="E12" s="756">
        <f>E10*E11</f>
        <v/>
      </c>
      <c r="F12" s="756">
        <f>F10*F11</f>
        <v/>
      </c>
      <c r="G12" s="756">
        <f>G10*G11</f>
        <v/>
      </c>
      <c r="H12" s="756">
        <f>H10*H11</f>
        <v/>
      </c>
      <c r="I12" s="756">
        <f>I10*I11</f>
        <v/>
      </c>
      <c r="J12" s="756">
        <f>J10*J11</f>
        <v/>
      </c>
      <c r="K12" s="756">
        <f>K10*K11</f>
        <v/>
      </c>
      <c r="L12" s="756">
        <f>L10*L11</f>
        <v/>
      </c>
      <c r="M12" s="756">
        <f>M10*M11</f>
        <v/>
      </c>
      <c r="N12" s="756">
        <f>N10*N11</f>
        <v/>
      </c>
      <c r="O12" s="756">
        <f>O10*O11</f>
        <v/>
      </c>
      <c r="P12" s="756">
        <f>P10*P11</f>
        <v/>
      </c>
      <c r="Q12" s="756">
        <f>Q10*Q11</f>
        <v/>
      </c>
      <c r="R12" s="756">
        <f>R10*R11</f>
        <v/>
      </c>
      <c r="S12" s="756">
        <f>S10*S11</f>
        <v/>
      </c>
      <c r="T12" s="756">
        <f>T10*T11</f>
        <v/>
      </c>
      <c r="U12" s="756">
        <f>U10*U11</f>
        <v/>
      </c>
      <c r="V12" s="756">
        <f>V10*V11</f>
        <v/>
      </c>
      <c r="W12" s="756">
        <f>W10*W11</f>
        <v/>
      </c>
      <c r="X12" s="756">
        <f>X10*X11</f>
        <v/>
      </c>
      <c r="Y12" s="756">
        <f>Y10*Y11</f>
        <v/>
      </c>
      <c r="Z12" s="756">
        <f>Z10*Z11</f>
        <v/>
      </c>
      <c r="AA12" s="756">
        <f>AA10*AA11</f>
        <v/>
      </c>
      <c r="AB12" s="756">
        <f>AB10*AB11</f>
        <v/>
      </c>
      <c r="AC12" s="756">
        <f>AC10*AC11</f>
        <v/>
      </c>
      <c r="AD12" s="756">
        <f>AD10*AD11</f>
        <v/>
      </c>
      <c r="AE12" s="756">
        <f>AE10*AE11</f>
        <v/>
      </c>
      <c r="AF12" s="756">
        <f>AF10*AF11</f>
        <v/>
      </c>
      <c r="AG12" s="756">
        <f>AG10*AG11</f>
        <v/>
      </c>
      <c r="AH12" s="756">
        <f>AH10*AH11</f>
        <v/>
      </c>
      <c r="AI12" s="756">
        <f>AI10*AI11</f>
        <v/>
      </c>
      <c r="AJ12" s="756">
        <f>AJ10*AJ11</f>
        <v/>
      </c>
      <c r="AK12" s="756">
        <f>AK10*AK11</f>
        <v/>
      </c>
      <c r="AL12" s="756">
        <f>AL10*AL11</f>
        <v/>
      </c>
      <c r="AM12" s="756">
        <f>AM10*AM11</f>
        <v/>
      </c>
      <c r="AN12" s="756">
        <f>AN10*AN11</f>
        <v/>
      </c>
      <c r="AO12" s="756">
        <f>AO10*AO11</f>
        <v/>
      </c>
      <c r="AP12" s="756">
        <f>AP10*AP11</f>
        <v/>
      </c>
      <c r="AQ12" s="756">
        <f>AQ10*AQ11</f>
        <v/>
      </c>
      <c r="AR12" s="756">
        <f>AR10*AR11</f>
        <v/>
      </c>
      <c r="AS12" s="756">
        <f>AS10*AS11</f>
        <v/>
      </c>
      <c r="AT12" s="756">
        <f>AT10*AT11</f>
        <v/>
      </c>
      <c r="AU12" s="756">
        <f>AU10*AU11</f>
        <v/>
      </c>
      <c r="AV12" s="756">
        <f>AV10*AV11</f>
        <v/>
      </c>
      <c r="AW12" s="756">
        <f>AW10*AW11</f>
        <v/>
      </c>
      <c r="AX12" s="756">
        <f>AX10*AX11</f>
        <v/>
      </c>
      <c r="AY12" s="756">
        <f>AY10*AY11</f>
        <v/>
      </c>
      <c r="AZ12" s="756">
        <f>AZ10*AZ11</f>
        <v/>
      </c>
      <c r="BA12" s="756">
        <f>BA10*BA11</f>
        <v/>
      </c>
      <c r="BB12" s="756">
        <f>BB10*BB11</f>
        <v/>
      </c>
      <c r="BC12" s="756">
        <f>BC10*BC11</f>
        <v/>
      </c>
      <c r="BD12" s="756">
        <f>BD10*BD11</f>
        <v/>
      </c>
      <c r="BE12" s="756">
        <f>BE10*BE11</f>
        <v/>
      </c>
      <c r="BF12" s="756">
        <f>BF10*BF11</f>
        <v/>
      </c>
      <c r="BG12" s="756">
        <f>BG10*BG11</f>
        <v/>
      </c>
      <c r="BH12" s="756">
        <f>BH10*BH11</f>
        <v/>
      </c>
      <c r="BI12" s="756">
        <f>BI10*BI11</f>
        <v/>
      </c>
      <c r="BJ12" s="756" t="n"/>
    </row>
    <row r="14">
      <c r="A14" s="22" t="inlineStr">
        <is>
          <t>COMISIONES DE VENTA</t>
        </is>
      </c>
      <c r="B14" s="210" t="n"/>
    </row>
    <row r="15">
      <c r="A15" s="35" t="inlineStr">
        <is>
          <t>Comisiones SetUp - Vendedores propios</t>
        </is>
      </c>
      <c r="B15" s="754">
        <f>Onboarding!B6*'Supuestos Generales'!$B$96*'Supuestos Generales'!$B$24*'Supuestos Generales'!$B$102</f>
        <v/>
      </c>
      <c r="C15" s="754">
        <f>Onboarding!C6*'Supuestos Generales'!$B$96*'Supuestos Generales'!$B$24*'Supuestos Generales'!$B$102</f>
        <v/>
      </c>
      <c r="D15" s="754">
        <f>Onboarding!D6*'Supuestos Generales'!$B$96*'Supuestos Generales'!$B$24*'Supuestos Generales'!$B$102</f>
        <v/>
      </c>
      <c r="E15" s="754">
        <f>Onboarding!E6*'Supuestos Generales'!$B$96*'Supuestos Generales'!$B$24*'Supuestos Generales'!$B$102</f>
        <v/>
      </c>
      <c r="F15" s="754">
        <f>Onboarding!F6*'Supuestos Generales'!$B$96*'Supuestos Generales'!$B$24*'Supuestos Generales'!$B$102</f>
        <v/>
      </c>
      <c r="G15" s="754">
        <f>Onboarding!G6*'Supuestos Generales'!$B$96*'Supuestos Generales'!$B$24*'Supuestos Generales'!$B$102</f>
        <v/>
      </c>
      <c r="H15" s="754">
        <f>Onboarding!H6*'Supuestos Generales'!$B$96*'Supuestos Generales'!$B$24*'Supuestos Generales'!$B$102</f>
        <v/>
      </c>
      <c r="I15" s="754">
        <f>Onboarding!I6*'Supuestos Generales'!$B$96*'Supuestos Generales'!$B$24*'Supuestos Generales'!$B$102</f>
        <v/>
      </c>
      <c r="J15" s="754">
        <f>Onboarding!J6*'Supuestos Generales'!$B$96*'Supuestos Generales'!$B$24*'Supuestos Generales'!$B$102</f>
        <v/>
      </c>
      <c r="K15" s="754">
        <f>Onboarding!K6*'Supuestos Generales'!$B$96*'Supuestos Generales'!$B$24*'Supuestos Generales'!$B$102</f>
        <v/>
      </c>
      <c r="L15" s="754">
        <f>Onboarding!L6*'Supuestos Generales'!$B$96*'Supuestos Generales'!$B$24*'Supuestos Generales'!$B$102</f>
        <v/>
      </c>
      <c r="M15" s="754">
        <f>Onboarding!M6*'Supuestos Generales'!$B$96*'Supuestos Generales'!$B$24*'Supuestos Generales'!$B$102</f>
        <v/>
      </c>
      <c r="N15" s="754">
        <f>Onboarding!N6*'Supuestos Generales'!$B$96*'Supuestos Generales'!$B$24*'Supuestos Generales'!$B$102</f>
        <v/>
      </c>
      <c r="O15" s="754">
        <f>Onboarding!O6*'Supuestos Generales'!$B$96*'Supuestos Generales'!$B$24*'Supuestos Generales'!$B$102</f>
        <v/>
      </c>
      <c r="P15" s="754">
        <f>Onboarding!P6*'Supuestos Generales'!$B$96*'Supuestos Generales'!$B$24*'Supuestos Generales'!$B$102</f>
        <v/>
      </c>
      <c r="Q15" s="754">
        <f>Onboarding!Q6*'Supuestos Generales'!$B$96*'Supuestos Generales'!$B$24*'Supuestos Generales'!$B$102</f>
        <v/>
      </c>
      <c r="R15" s="754">
        <f>Onboarding!R6*'Supuestos Generales'!$B$96*'Supuestos Generales'!$B$24*'Supuestos Generales'!$B$102</f>
        <v/>
      </c>
      <c r="S15" s="754">
        <f>Onboarding!S6*'Supuestos Generales'!$B$96*'Supuestos Generales'!$B$24*'Supuestos Generales'!$B$102</f>
        <v/>
      </c>
      <c r="T15" s="754">
        <f>Onboarding!T6*'Supuestos Generales'!$B$96*'Supuestos Generales'!$B$24*'Supuestos Generales'!$B$102</f>
        <v/>
      </c>
      <c r="U15" s="754">
        <f>Onboarding!U6*'Supuestos Generales'!$B$96*'Supuestos Generales'!$B$24*'Supuestos Generales'!$B$102</f>
        <v/>
      </c>
      <c r="V15" s="754">
        <f>Onboarding!V6*'Supuestos Generales'!$B$96*'Supuestos Generales'!$B$24*'Supuestos Generales'!$B$102</f>
        <v/>
      </c>
      <c r="W15" s="754">
        <f>Onboarding!W6*'Supuestos Generales'!$B$96*'Supuestos Generales'!$B$24*'Supuestos Generales'!$B$102</f>
        <v/>
      </c>
      <c r="X15" s="754">
        <f>Onboarding!X6*'Supuestos Generales'!$B$96*'Supuestos Generales'!$B$24*'Supuestos Generales'!$B$102</f>
        <v/>
      </c>
      <c r="Y15" s="754">
        <f>Onboarding!Y6*'Supuestos Generales'!$B$96*'Supuestos Generales'!$B$24*'Supuestos Generales'!$B$102</f>
        <v/>
      </c>
      <c r="Z15" s="754">
        <f>Onboarding!Z6*'Supuestos Generales'!$B$96*'Supuestos Generales'!$B$24*'Supuestos Generales'!$B$102</f>
        <v/>
      </c>
      <c r="AA15" s="754">
        <f>Onboarding!AA6*'Supuestos Generales'!$B$96*'Supuestos Generales'!$B$24*'Supuestos Generales'!$B$102</f>
        <v/>
      </c>
      <c r="AB15" s="754">
        <f>Onboarding!AB6*'Supuestos Generales'!$B$96*'Supuestos Generales'!$B$24*'Supuestos Generales'!$B$102</f>
        <v/>
      </c>
      <c r="AC15" s="754">
        <f>Onboarding!AC6*'Supuestos Generales'!$B$96*'Supuestos Generales'!$B$24*'Supuestos Generales'!$B$102</f>
        <v/>
      </c>
      <c r="AD15" s="754">
        <f>Onboarding!AD6*'Supuestos Generales'!$B$96*'Supuestos Generales'!$B$24*'Supuestos Generales'!$B$102</f>
        <v/>
      </c>
      <c r="AE15" s="754">
        <f>Onboarding!AE6*'Supuestos Generales'!$B$96*'Supuestos Generales'!$B$24*'Supuestos Generales'!$B$102</f>
        <v/>
      </c>
      <c r="AF15" s="754">
        <f>Onboarding!AF6*'Supuestos Generales'!$B$96*'Supuestos Generales'!$B$24*'Supuestos Generales'!$B$102</f>
        <v/>
      </c>
      <c r="AG15" s="754">
        <f>Onboarding!AG6*'Supuestos Generales'!$B$96*'Supuestos Generales'!$B$24*'Supuestos Generales'!$B$102</f>
        <v/>
      </c>
      <c r="AH15" s="754">
        <f>Onboarding!AH6*'Supuestos Generales'!$B$96*'Supuestos Generales'!$B$24*'Supuestos Generales'!$B$102</f>
        <v/>
      </c>
      <c r="AI15" s="754">
        <f>Onboarding!AI6*'Supuestos Generales'!$B$96*'Supuestos Generales'!$B$24*'Supuestos Generales'!$B$102</f>
        <v/>
      </c>
      <c r="AJ15" s="754">
        <f>Onboarding!AJ6*'Supuestos Generales'!$B$96*'Supuestos Generales'!$B$24*'Supuestos Generales'!$B$102</f>
        <v/>
      </c>
      <c r="AK15" s="754">
        <f>Onboarding!AK6*'Supuestos Generales'!$B$96*'Supuestos Generales'!$B$24*'Supuestos Generales'!$B$102</f>
        <v/>
      </c>
      <c r="AL15" s="754">
        <f>Onboarding!AL6*'Supuestos Generales'!$B$96*'Supuestos Generales'!$B$24*'Supuestos Generales'!$B$102</f>
        <v/>
      </c>
      <c r="AM15" s="754">
        <f>Onboarding!AM6*'Supuestos Generales'!$B$96*'Supuestos Generales'!$B$24*'Supuestos Generales'!$B$102</f>
        <v/>
      </c>
      <c r="AN15" s="754">
        <f>Onboarding!AN6*'Supuestos Generales'!$B$96*'Supuestos Generales'!$B$24*'Supuestos Generales'!$B$102</f>
        <v/>
      </c>
      <c r="AO15" s="754">
        <f>Onboarding!AO6*'Supuestos Generales'!$B$96*'Supuestos Generales'!$B$24*'Supuestos Generales'!$B$102</f>
        <v/>
      </c>
      <c r="AP15" s="754">
        <f>Onboarding!AP6*'Supuestos Generales'!$B$96*'Supuestos Generales'!$B$24*'Supuestos Generales'!$B$102</f>
        <v/>
      </c>
      <c r="AQ15" s="754">
        <f>Onboarding!AQ6*'Supuestos Generales'!$B$96*'Supuestos Generales'!$B$24*'Supuestos Generales'!$B$102</f>
        <v/>
      </c>
      <c r="AR15" s="754">
        <f>Onboarding!AR6*'Supuestos Generales'!$B$96*'Supuestos Generales'!$B$24*'Supuestos Generales'!$B$102</f>
        <v/>
      </c>
      <c r="AS15" s="754">
        <f>Onboarding!AS6*'Supuestos Generales'!$B$96*'Supuestos Generales'!$B$24*'Supuestos Generales'!$B$102</f>
        <v/>
      </c>
      <c r="AT15" s="754">
        <f>Onboarding!AT6*'Supuestos Generales'!$B$96*'Supuestos Generales'!$B$24*'Supuestos Generales'!$B$102</f>
        <v/>
      </c>
      <c r="AU15" s="754">
        <f>Onboarding!AU6*'Supuestos Generales'!$B$96*'Supuestos Generales'!$B$24*'Supuestos Generales'!$B$102</f>
        <v/>
      </c>
      <c r="AV15" s="754">
        <f>Onboarding!AV6*'Supuestos Generales'!$B$96*'Supuestos Generales'!$B$24*'Supuestos Generales'!$B$102</f>
        <v/>
      </c>
      <c r="AW15" s="754">
        <f>Onboarding!AW6*'Supuestos Generales'!$B$96*'Supuestos Generales'!$B$24*'Supuestos Generales'!$B$102</f>
        <v/>
      </c>
      <c r="AX15" s="754">
        <f>Onboarding!AX6*'Supuestos Generales'!$B$96*'Supuestos Generales'!$B$24*'Supuestos Generales'!$B$102</f>
        <v/>
      </c>
      <c r="AY15" s="754">
        <f>Onboarding!AY6*'Supuestos Generales'!$B$96*'Supuestos Generales'!$B$24*'Supuestos Generales'!$B$102</f>
        <v/>
      </c>
      <c r="AZ15" s="754">
        <f>Onboarding!AZ6*'Supuestos Generales'!$B$96*'Supuestos Generales'!$B$24*'Supuestos Generales'!$B$102</f>
        <v/>
      </c>
      <c r="BA15" s="754">
        <f>Onboarding!BA6*'Supuestos Generales'!$B$96*'Supuestos Generales'!$B$24*'Supuestos Generales'!$B$102</f>
        <v/>
      </c>
      <c r="BB15" s="754">
        <f>Onboarding!BB6*'Supuestos Generales'!$B$96*'Supuestos Generales'!$B$24*'Supuestos Generales'!$B$102</f>
        <v/>
      </c>
      <c r="BC15" s="754">
        <f>Onboarding!BC6*'Supuestos Generales'!$B$96*'Supuestos Generales'!$B$24*'Supuestos Generales'!$B$102</f>
        <v/>
      </c>
      <c r="BD15" s="754">
        <f>Onboarding!BD6*'Supuestos Generales'!$B$96*'Supuestos Generales'!$B$24*'Supuestos Generales'!$B$102</f>
        <v/>
      </c>
      <c r="BE15" s="754">
        <f>Onboarding!BE6*'Supuestos Generales'!$B$96*'Supuestos Generales'!$B$24*'Supuestos Generales'!$B$102</f>
        <v/>
      </c>
      <c r="BF15" s="754">
        <f>Onboarding!BF6*'Supuestos Generales'!$B$96*'Supuestos Generales'!$B$24*'Supuestos Generales'!$B$102</f>
        <v/>
      </c>
      <c r="BG15" s="754">
        <f>Onboarding!BG6*'Supuestos Generales'!$B$96*'Supuestos Generales'!$B$24*'Supuestos Generales'!$B$102</f>
        <v/>
      </c>
      <c r="BH15" s="754">
        <f>Onboarding!BH6*'Supuestos Generales'!$B$96*'Supuestos Generales'!$B$24*'Supuestos Generales'!$B$102</f>
        <v/>
      </c>
      <c r="BI15" s="754">
        <f>Onboarding!BI6*'Supuestos Generales'!$B$96*'Supuestos Generales'!$B$24*'Supuestos Generales'!$B$102</f>
        <v/>
      </c>
      <c r="BJ15" s="757">
        <f>SUM(B15:BI15)</f>
        <v/>
      </c>
    </row>
    <row r="16">
      <c r="A16" s="35" t="inlineStr">
        <is>
          <t>Comisiones SetUp - Vendedores externos</t>
        </is>
      </c>
      <c r="B16" s="754">
        <f>Onboarding!B6*'Supuestos Generales'!$B$97*'Supuestos Generales'!$B$24*'Supuestos Generales'!$B$103</f>
        <v/>
      </c>
      <c r="C16" s="754">
        <f>Onboarding!C6*'Supuestos Generales'!$B$97*'Supuestos Generales'!$B$24*'Supuestos Generales'!$B$103</f>
        <v/>
      </c>
      <c r="D16" s="754">
        <f>Onboarding!D6*'Supuestos Generales'!$B$97*'Supuestos Generales'!$B$24*'Supuestos Generales'!$B$103</f>
        <v/>
      </c>
      <c r="E16" s="754">
        <f>Onboarding!E6*'Supuestos Generales'!$B$97*'Supuestos Generales'!$B$24*'Supuestos Generales'!$B$103</f>
        <v/>
      </c>
      <c r="F16" s="754">
        <f>Onboarding!F6*'Supuestos Generales'!$B$97*'Supuestos Generales'!$B$24*'Supuestos Generales'!$B$103</f>
        <v/>
      </c>
      <c r="G16" s="754">
        <f>Onboarding!G6*'Supuestos Generales'!$B$97*'Supuestos Generales'!$B$24*'Supuestos Generales'!$B$103</f>
        <v/>
      </c>
      <c r="H16" s="754">
        <f>Onboarding!H6*'Supuestos Generales'!$B$97*'Supuestos Generales'!$B$24*'Supuestos Generales'!$B$103</f>
        <v/>
      </c>
      <c r="I16" s="754">
        <f>Onboarding!I6*'Supuestos Generales'!$B$97*'Supuestos Generales'!$B$24*'Supuestos Generales'!$B$103</f>
        <v/>
      </c>
      <c r="J16" s="754">
        <f>Onboarding!J6*'Supuestos Generales'!$B$97*'Supuestos Generales'!$B$24*'Supuestos Generales'!$B$103</f>
        <v/>
      </c>
      <c r="K16" s="754">
        <f>Onboarding!K6*'Supuestos Generales'!$B$97*'Supuestos Generales'!$B$24*'Supuestos Generales'!$B$103</f>
        <v/>
      </c>
      <c r="L16" s="754">
        <f>Onboarding!L6*'Supuestos Generales'!$B$97*'Supuestos Generales'!$B$24*'Supuestos Generales'!$B$103</f>
        <v/>
      </c>
      <c r="M16" s="754">
        <f>Onboarding!M6*'Supuestos Generales'!$B$97*'Supuestos Generales'!$B$24*'Supuestos Generales'!$B$103</f>
        <v/>
      </c>
      <c r="N16" s="754">
        <f>Onboarding!N6*'Supuestos Generales'!$B$97*'Supuestos Generales'!$B$24*'Supuestos Generales'!$B$103</f>
        <v/>
      </c>
      <c r="O16" s="754">
        <f>Onboarding!O6*'Supuestos Generales'!$B$97*'Supuestos Generales'!$B$24*'Supuestos Generales'!$B$103</f>
        <v/>
      </c>
      <c r="P16" s="754">
        <f>Onboarding!P6*'Supuestos Generales'!$B$97*'Supuestos Generales'!$B$24*'Supuestos Generales'!$B$103</f>
        <v/>
      </c>
      <c r="Q16" s="754">
        <f>Onboarding!Q6*'Supuestos Generales'!$B$97*'Supuestos Generales'!$B$24*'Supuestos Generales'!$B$103</f>
        <v/>
      </c>
      <c r="R16" s="754">
        <f>Onboarding!R6*'Supuestos Generales'!$B$97*'Supuestos Generales'!$B$24*'Supuestos Generales'!$B$103</f>
        <v/>
      </c>
      <c r="S16" s="754">
        <f>Onboarding!S6*'Supuestos Generales'!$B$97*'Supuestos Generales'!$B$24*'Supuestos Generales'!$B$103</f>
        <v/>
      </c>
      <c r="T16" s="754">
        <f>Onboarding!T6*'Supuestos Generales'!$B$97*'Supuestos Generales'!$B$24*'Supuestos Generales'!$B$103</f>
        <v/>
      </c>
      <c r="U16" s="754">
        <f>Onboarding!U6*'Supuestos Generales'!$B$97*'Supuestos Generales'!$B$24*'Supuestos Generales'!$B$103</f>
        <v/>
      </c>
      <c r="V16" s="754">
        <f>Onboarding!V6*'Supuestos Generales'!$B$97*'Supuestos Generales'!$B$24*'Supuestos Generales'!$B$103</f>
        <v/>
      </c>
      <c r="W16" s="754">
        <f>Onboarding!W6*'Supuestos Generales'!$B$97*'Supuestos Generales'!$B$24*'Supuestos Generales'!$B$103</f>
        <v/>
      </c>
      <c r="X16" s="754">
        <f>Onboarding!X6*'Supuestos Generales'!$B$97*'Supuestos Generales'!$B$24*'Supuestos Generales'!$B$103</f>
        <v/>
      </c>
      <c r="Y16" s="754">
        <f>Onboarding!Y6*'Supuestos Generales'!$B$97*'Supuestos Generales'!$B$24*'Supuestos Generales'!$B$103</f>
        <v/>
      </c>
      <c r="Z16" s="754">
        <f>Onboarding!Z6*'Supuestos Generales'!$B$97*'Supuestos Generales'!$B$24*'Supuestos Generales'!$B$103</f>
        <v/>
      </c>
      <c r="AA16" s="754">
        <f>Onboarding!AA6*'Supuestos Generales'!$B$97*'Supuestos Generales'!$B$24*'Supuestos Generales'!$B$103</f>
        <v/>
      </c>
      <c r="AB16" s="754">
        <f>Onboarding!AB6*'Supuestos Generales'!$B$97*'Supuestos Generales'!$B$24*'Supuestos Generales'!$B$103</f>
        <v/>
      </c>
      <c r="AC16" s="754">
        <f>Onboarding!AC6*'Supuestos Generales'!$B$97*'Supuestos Generales'!$B$24*'Supuestos Generales'!$B$103</f>
        <v/>
      </c>
      <c r="AD16" s="754">
        <f>Onboarding!AD6*'Supuestos Generales'!$B$97*'Supuestos Generales'!$B$24*'Supuestos Generales'!$B$103</f>
        <v/>
      </c>
      <c r="AE16" s="754">
        <f>Onboarding!AE6*'Supuestos Generales'!$B$97*'Supuestos Generales'!$B$24*'Supuestos Generales'!$B$103</f>
        <v/>
      </c>
      <c r="AF16" s="754">
        <f>Onboarding!AF6*'Supuestos Generales'!$B$97*'Supuestos Generales'!$B$24*'Supuestos Generales'!$B$103</f>
        <v/>
      </c>
      <c r="AG16" s="754">
        <f>Onboarding!AG6*'Supuestos Generales'!$B$97*'Supuestos Generales'!$B$24*'Supuestos Generales'!$B$103</f>
        <v/>
      </c>
      <c r="AH16" s="754">
        <f>Onboarding!AH6*'Supuestos Generales'!$B$97*'Supuestos Generales'!$B$24*'Supuestos Generales'!$B$103</f>
        <v/>
      </c>
      <c r="AI16" s="754">
        <f>Onboarding!AI6*'Supuestos Generales'!$B$97*'Supuestos Generales'!$B$24*'Supuestos Generales'!$B$103</f>
        <v/>
      </c>
      <c r="AJ16" s="754">
        <f>Onboarding!AJ6*'Supuestos Generales'!$B$97*'Supuestos Generales'!$B$24*'Supuestos Generales'!$B$103</f>
        <v/>
      </c>
      <c r="AK16" s="754">
        <f>Onboarding!AK6*'Supuestos Generales'!$B$97*'Supuestos Generales'!$B$24*'Supuestos Generales'!$B$103</f>
        <v/>
      </c>
      <c r="AL16" s="754">
        <f>Onboarding!AL6*'Supuestos Generales'!$B$97*'Supuestos Generales'!$B$24*'Supuestos Generales'!$B$103</f>
        <v/>
      </c>
      <c r="AM16" s="754">
        <f>Onboarding!AM6*'Supuestos Generales'!$B$97*'Supuestos Generales'!$B$24*'Supuestos Generales'!$B$103</f>
        <v/>
      </c>
      <c r="AN16" s="754">
        <f>Onboarding!AN6*'Supuestos Generales'!$B$97*'Supuestos Generales'!$B$24*'Supuestos Generales'!$B$103</f>
        <v/>
      </c>
      <c r="AO16" s="754">
        <f>Onboarding!AO6*'Supuestos Generales'!$B$97*'Supuestos Generales'!$B$24*'Supuestos Generales'!$B$103</f>
        <v/>
      </c>
      <c r="AP16" s="754">
        <f>Onboarding!AP6*'Supuestos Generales'!$B$97*'Supuestos Generales'!$B$24*'Supuestos Generales'!$B$103</f>
        <v/>
      </c>
      <c r="AQ16" s="754">
        <f>Onboarding!AQ6*'Supuestos Generales'!$B$97*'Supuestos Generales'!$B$24*'Supuestos Generales'!$B$103</f>
        <v/>
      </c>
      <c r="AR16" s="754">
        <f>Onboarding!AR6*'Supuestos Generales'!$B$97*'Supuestos Generales'!$B$24*'Supuestos Generales'!$B$103</f>
        <v/>
      </c>
      <c r="AS16" s="754">
        <f>Onboarding!AS6*'Supuestos Generales'!$B$97*'Supuestos Generales'!$B$24*'Supuestos Generales'!$B$103</f>
        <v/>
      </c>
      <c r="AT16" s="754">
        <f>Onboarding!AT6*'Supuestos Generales'!$B$97*'Supuestos Generales'!$B$24*'Supuestos Generales'!$B$103</f>
        <v/>
      </c>
      <c r="AU16" s="754">
        <f>Onboarding!AU6*'Supuestos Generales'!$B$97*'Supuestos Generales'!$B$24*'Supuestos Generales'!$B$103</f>
        <v/>
      </c>
      <c r="AV16" s="754">
        <f>Onboarding!AV6*'Supuestos Generales'!$B$97*'Supuestos Generales'!$B$24*'Supuestos Generales'!$B$103</f>
        <v/>
      </c>
      <c r="AW16" s="754">
        <f>Onboarding!AW6*'Supuestos Generales'!$B$97*'Supuestos Generales'!$B$24*'Supuestos Generales'!$B$103</f>
        <v/>
      </c>
      <c r="AX16" s="754">
        <f>Onboarding!AX6*'Supuestos Generales'!$B$97*'Supuestos Generales'!$B$24*'Supuestos Generales'!$B$103</f>
        <v/>
      </c>
      <c r="AY16" s="754">
        <f>Onboarding!AY6*'Supuestos Generales'!$B$97*'Supuestos Generales'!$B$24*'Supuestos Generales'!$B$103</f>
        <v/>
      </c>
      <c r="AZ16" s="754">
        <f>Onboarding!AZ6*'Supuestos Generales'!$B$97*'Supuestos Generales'!$B$24*'Supuestos Generales'!$B$103</f>
        <v/>
      </c>
      <c r="BA16" s="754">
        <f>Onboarding!BA6*'Supuestos Generales'!$B$97*'Supuestos Generales'!$B$24*'Supuestos Generales'!$B$103</f>
        <v/>
      </c>
      <c r="BB16" s="754">
        <f>Onboarding!BB6*'Supuestos Generales'!$B$97*'Supuestos Generales'!$B$24*'Supuestos Generales'!$B$103</f>
        <v/>
      </c>
      <c r="BC16" s="754">
        <f>Onboarding!BC6*'Supuestos Generales'!$B$97*'Supuestos Generales'!$B$24*'Supuestos Generales'!$B$103</f>
        <v/>
      </c>
      <c r="BD16" s="754">
        <f>Onboarding!BD6*'Supuestos Generales'!$B$97*'Supuestos Generales'!$B$24*'Supuestos Generales'!$B$103</f>
        <v/>
      </c>
      <c r="BE16" s="754">
        <f>Onboarding!BE6*'Supuestos Generales'!$B$97*'Supuestos Generales'!$B$24*'Supuestos Generales'!$B$103</f>
        <v/>
      </c>
      <c r="BF16" s="754">
        <f>Onboarding!BF6*'Supuestos Generales'!$B$97*'Supuestos Generales'!$B$24*'Supuestos Generales'!$B$103</f>
        <v/>
      </c>
      <c r="BG16" s="754">
        <f>Onboarding!BG6*'Supuestos Generales'!$B$97*'Supuestos Generales'!$B$24*'Supuestos Generales'!$B$103</f>
        <v/>
      </c>
      <c r="BH16" s="754">
        <f>Onboarding!BH6*'Supuestos Generales'!$B$97*'Supuestos Generales'!$B$24*'Supuestos Generales'!$B$103</f>
        <v/>
      </c>
      <c r="BI16" s="754">
        <f>Onboarding!BI6*'Supuestos Generales'!$B$97*'Supuestos Generales'!$B$24*'Supuestos Generales'!$B$103</f>
        <v/>
      </c>
      <c r="BJ16" s="757">
        <f>SUM(B16:BI16)</f>
        <v/>
      </c>
    </row>
    <row r="17">
      <c r="A17" s="35" t="inlineStr">
        <is>
          <t>Comisiones SetUp - Aliados estratégicos</t>
        </is>
      </c>
      <c r="B17" s="754">
        <f>Onboarding!B6*'Supuestos Generales'!$B$98*'Supuestos Generales'!$B$24*'Supuestos Generales'!$B$104</f>
        <v/>
      </c>
      <c r="C17" s="754">
        <f>Onboarding!C6*'Supuestos Generales'!$B$98*'Supuestos Generales'!$B$24*'Supuestos Generales'!$B$104</f>
        <v/>
      </c>
      <c r="D17" s="754">
        <f>Onboarding!D6*'Supuestos Generales'!$B$98*'Supuestos Generales'!$B$24*'Supuestos Generales'!$B$104</f>
        <v/>
      </c>
      <c r="E17" s="754">
        <f>Onboarding!E6*'Supuestos Generales'!$B$98*'Supuestos Generales'!$B$24*'Supuestos Generales'!$B$104</f>
        <v/>
      </c>
      <c r="F17" s="754">
        <f>Onboarding!F6*'Supuestos Generales'!$B$98*'Supuestos Generales'!$B$24*'Supuestos Generales'!$B$104</f>
        <v/>
      </c>
      <c r="G17" s="754">
        <f>Onboarding!G6*'Supuestos Generales'!$B$98*'Supuestos Generales'!$B$24*'Supuestos Generales'!$B$104</f>
        <v/>
      </c>
      <c r="H17" s="754">
        <f>Onboarding!H6*'Supuestos Generales'!$B$98*'Supuestos Generales'!$B$24*'Supuestos Generales'!$B$104</f>
        <v/>
      </c>
      <c r="I17" s="754">
        <f>Onboarding!I6*'Supuestos Generales'!$B$98*'Supuestos Generales'!$B$24*'Supuestos Generales'!$B$104</f>
        <v/>
      </c>
      <c r="J17" s="754">
        <f>Onboarding!J6*'Supuestos Generales'!$B$98*'Supuestos Generales'!$B$24*'Supuestos Generales'!$B$104</f>
        <v/>
      </c>
      <c r="K17" s="754">
        <f>Onboarding!K6*'Supuestos Generales'!$B$98*'Supuestos Generales'!$B$24*'Supuestos Generales'!$B$104</f>
        <v/>
      </c>
      <c r="L17" s="754">
        <f>Onboarding!L6*'Supuestos Generales'!$B$98*'Supuestos Generales'!$B$24*'Supuestos Generales'!$B$104</f>
        <v/>
      </c>
      <c r="M17" s="754">
        <f>Onboarding!M6*'Supuestos Generales'!$B$98*'Supuestos Generales'!$B$24*'Supuestos Generales'!$B$104</f>
        <v/>
      </c>
      <c r="N17" s="754">
        <f>Onboarding!N6*'Supuestos Generales'!$B$98*'Supuestos Generales'!$B$24*'Supuestos Generales'!$B$104</f>
        <v/>
      </c>
      <c r="O17" s="754">
        <f>Onboarding!O6*'Supuestos Generales'!$B$98*'Supuestos Generales'!$B$24*'Supuestos Generales'!$B$104</f>
        <v/>
      </c>
      <c r="P17" s="754">
        <f>Onboarding!P6*'Supuestos Generales'!$B$98*'Supuestos Generales'!$B$24*'Supuestos Generales'!$B$104</f>
        <v/>
      </c>
      <c r="Q17" s="754">
        <f>Onboarding!Q6*'Supuestos Generales'!$B$98*'Supuestos Generales'!$B$24*'Supuestos Generales'!$B$104</f>
        <v/>
      </c>
      <c r="R17" s="754">
        <f>Onboarding!R6*'Supuestos Generales'!$B$98*'Supuestos Generales'!$B$24*'Supuestos Generales'!$B$104</f>
        <v/>
      </c>
      <c r="S17" s="754">
        <f>Onboarding!S6*'Supuestos Generales'!$B$98*'Supuestos Generales'!$B$24*'Supuestos Generales'!$B$104</f>
        <v/>
      </c>
      <c r="T17" s="754">
        <f>Onboarding!T6*'Supuestos Generales'!$B$98*'Supuestos Generales'!$B$24*'Supuestos Generales'!$B$104</f>
        <v/>
      </c>
      <c r="U17" s="754">
        <f>Onboarding!U6*'Supuestos Generales'!$B$98*'Supuestos Generales'!$B$24*'Supuestos Generales'!$B$104</f>
        <v/>
      </c>
      <c r="V17" s="754">
        <f>Onboarding!V6*'Supuestos Generales'!$B$98*'Supuestos Generales'!$B$24*'Supuestos Generales'!$B$104</f>
        <v/>
      </c>
      <c r="W17" s="754">
        <f>Onboarding!W6*'Supuestos Generales'!$B$98*'Supuestos Generales'!$B$24*'Supuestos Generales'!$B$104</f>
        <v/>
      </c>
      <c r="X17" s="754">
        <f>Onboarding!X6*'Supuestos Generales'!$B$98*'Supuestos Generales'!$B$24*'Supuestos Generales'!$B$104</f>
        <v/>
      </c>
      <c r="Y17" s="754">
        <f>Onboarding!Y6*'Supuestos Generales'!$B$98*'Supuestos Generales'!$B$24*'Supuestos Generales'!$B$104</f>
        <v/>
      </c>
      <c r="Z17" s="754">
        <f>Onboarding!Z6*'Supuestos Generales'!$B$98*'Supuestos Generales'!$B$24*'Supuestos Generales'!$B$104</f>
        <v/>
      </c>
      <c r="AA17" s="754">
        <f>Onboarding!AA6*'Supuestos Generales'!$B$98*'Supuestos Generales'!$B$24*'Supuestos Generales'!$B$104</f>
        <v/>
      </c>
      <c r="AB17" s="754">
        <f>Onboarding!AB6*'Supuestos Generales'!$B$98*'Supuestos Generales'!$B$24*'Supuestos Generales'!$B$104</f>
        <v/>
      </c>
      <c r="AC17" s="754">
        <f>Onboarding!AC6*'Supuestos Generales'!$B$98*'Supuestos Generales'!$B$24*'Supuestos Generales'!$B$104</f>
        <v/>
      </c>
      <c r="AD17" s="754">
        <f>Onboarding!AD6*'Supuestos Generales'!$B$98*'Supuestos Generales'!$B$24*'Supuestos Generales'!$B$104</f>
        <v/>
      </c>
      <c r="AE17" s="754">
        <f>Onboarding!AE6*'Supuestos Generales'!$B$98*'Supuestos Generales'!$B$24*'Supuestos Generales'!$B$104</f>
        <v/>
      </c>
      <c r="AF17" s="754">
        <f>Onboarding!AF6*'Supuestos Generales'!$B$98*'Supuestos Generales'!$B$24*'Supuestos Generales'!$B$104</f>
        <v/>
      </c>
      <c r="AG17" s="754">
        <f>Onboarding!AG6*'Supuestos Generales'!$B$98*'Supuestos Generales'!$B$24*'Supuestos Generales'!$B$104</f>
        <v/>
      </c>
      <c r="AH17" s="754">
        <f>Onboarding!AH6*'Supuestos Generales'!$B$98*'Supuestos Generales'!$B$24*'Supuestos Generales'!$B$104</f>
        <v/>
      </c>
      <c r="AI17" s="754">
        <f>Onboarding!AI6*'Supuestos Generales'!$B$98*'Supuestos Generales'!$B$24*'Supuestos Generales'!$B$104</f>
        <v/>
      </c>
      <c r="AJ17" s="754">
        <f>Onboarding!AJ6*'Supuestos Generales'!$B$98*'Supuestos Generales'!$B$24*'Supuestos Generales'!$B$104</f>
        <v/>
      </c>
      <c r="AK17" s="754">
        <f>Onboarding!AK6*'Supuestos Generales'!$B$98*'Supuestos Generales'!$B$24*'Supuestos Generales'!$B$104</f>
        <v/>
      </c>
      <c r="AL17" s="754">
        <f>Onboarding!AL6*'Supuestos Generales'!$B$98*'Supuestos Generales'!$B$24*'Supuestos Generales'!$B$104</f>
        <v/>
      </c>
      <c r="AM17" s="754">
        <f>Onboarding!AM6*'Supuestos Generales'!$B$98*'Supuestos Generales'!$B$24*'Supuestos Generales'!$B$104</f>
        <v/>
      </c>
      <c r="AN17" s="754">
        <f>Onboarding!AN6*'Supuestos Generales'!$B$98*'Supuestos Generales'!$B$24*'Supuestos Generales'!$B$104</f>
        <v/>
      </c>
      <c r="AO17" s="754">
        <f>Onboarding!AO6*'Supuestos Generales'!$B$98*'Supuestos Generales'!$B$24*'Supuestos Generales'!$B$104</f>
        <v/>
      </c>
      <c r="AP17" s="754">
        <f>Onboarding!AP6*'Supuestos Generales'!$B$98*'Supuestos Generales'!$B$24*'Supuestos Generales'!$B$104</f>
        <v/>
      </c>
      <c r="AQ17" s="754">
        <f>Onboarding!AQ6*'Supuestos Generales'!$B$98*'Supuestos Generales'!$B$24*'Supuestos Generales'!$B$104</f>
        <v/>
      </c>
      <c r="AR17" s="754">
        <f>Onboarding!AR6*'Supuestos Generales'!$B$98*'Supuestos Generales'!$B$24*'Supuestos Generales'!$B$104</f>
        <v/>
      </c>
      <c r="AS17" s="754">
        <f>Onboarding!AS6*'Supuestos Generales'!$B$98*'Supuestos Generales'!$B$24*'Supuestos Generales'!$B$104</f>
        <v/>
      </c>
      <c r="AT17" s="754">
        <f>Onboarding!AT6*'Supuestos Generales'!$B$98*'Supuestos Generales'!$B$24*'Supuestos Generales'!$B$104</f>
        <v/>
      </c>
      <c r="AU17" s="754">
        <f>Onboarding!AU6*'Supuestos Generales'!$B$98*'Supuestos Generales'!$B$24*'Supuestos Generales'!$B$104</f>
        <v/>
      </c>
      <c r="AV17" s="754">
        <f>Onboarding!AV6*'Supuestos Generales'!$B$98*'Supuestos Generales'!$B$24*'Supuestos Generales'!$B$104</f>
        <v/>
      </c>
      <c r="AW17" s="754">
        <f>Onboarding!AW6*'Supuestos Generales'!$B$98*'Supuestos Generales'!$B$24*'Supuestos Generales'!$B$104</f>
        <v/>
      </c>
      <c r="AX17" s="754">
        <f>Onboarding!AX6*'Supuestos Generales'!$B$98*'Supuestos Generales'!$B$24*'Supuestos Generales'!$B$104</f>
        <v/>
      </c>
      <c r="AY17" s="754">
        <f>Onboarding!AY6*'Supuestos Generales'!$B$98*'Supuestos Generales'!$B$24*'Supuestos Generales'!$B$104</f>
        <v/>
      </c>
      <c r="AZ17" s="754">
        <f>Onboarding!AZ6*'Supuestos Generales'!$B$98*'Supuestos Generales'!$B$24*'Supuestos Generales'!$B$104</f>
        <v/>
      </c>
      <c r="BA17" s="754">
        <f>Onboarding!BA6*'Supuestos Generales'!$B$98*'Supuestos Generales'!$B$24*'Supuestos Generales'!$B$104</f>
        <v/>
      </c>
      <c r="BB17" s="754">
        <f>Onboarding!BB6*'Supuestos Generales'!$B$98*'Supuestos Generales'!$B$24*'Supuestos Generales'!$B$104</f>
        <v/>
      </c>
      <c r="BC17" s="754">
        <f>Onboarding!BC6*'Supuestos Generales'!$B$98*'Supuestos Generales'!$B$24*'Supuestos Generales'!$B$104</f>
        <v/>
      </c>
      <c r="BD17" s="754">
        <f>Onboarding!BD6*'Supuestos Generales'!$B$98*'Supuestos Generales'!$B$24*'Supuestos Generales'!$B$104</f>
        <v/>
      </c>
      <c r="BE17" s="754">
        <f>Onboarding!BE6*'Supuestos Generales'!$B$98*'Supuestos Generales'!$B$24*'Supuestos Generales'!$B$104</f>
        <v/>
      </c>
      <c r="BF17" s="754">
        <f>Onboarding!BF6*'Supuestos Generales'!$B$98*'Supuestos Generales'!$B$24*'Supuestos Generales'!$B$104</f>
        <v/>
      </c>
      <c r="BG17" s="754">
        <f>Onboarding!BG6*'Supuestos Generales'!$B$98*'Supuestos Generales'!$B$24*'Supuestos Generales'!$B$104</f>
        <v/>
      </c>
      <c r="BH17" s="754">
        <f>Onboarding!BH6*'Supuestos Generales'!$B$98*'Supuestos Generales'!$B$24*'Supuestos Generales'!$B$104</f>
        <v/>
      </c>
      <c r="BI17" s="754">
        <f>Onboarding!BI6*'Supuestos Generales'!$B$98*'Supuestos Generales'!$B$24*'Supuestos Generales'!$B$104</f>
        <v/>
      </c>
      <c r="BJ17" s="757">
        <f>SUM(B17:BI17)</f>
        <v/>
      </c>
    </row>
    <row r="18">
      <c r="A18" s="35" t="inlineStr">
        <is>
          <t>Comisiones SetUp - Partners POS</t>
        </is>
      </c>
      <c r="B18" s="754">
        <f>Onboarding!B6*'Supuestos Generales'!$B$99*'Supuestos Generales'!$B$24*'Supuestos Generales'!$B$105</f>
        <v/>
      </c>
      <c r="C18" s="754">
        <f>Onboarding!C6*'Supuestos Generales'!$B$99*'Supuestos Generales'!$B$24*'Supuestos Generales'!$B$105</f>
        <v/>
      </c>
      <c r="D18" s="754">
        <f>Onboarding!D6*'Supuestos Generales'!$B$99*'Supuestos Generales'!$B$24*'Supuestos Generales'!$B$105</f>
        <v/>
      </c>
      <c r="E18" s="754">
        <f>Onboarding!E6*'Supuestos Generales'!$B$99*'Supuestos Generales'!$B$24*'Supuestos Generales'!$B$105</f>
        <v/>
      </c>
      <c r="F18" s="754">
        <f>Onboarding!F6*'Supuestos Generales'!$B$99*'Supuestos Generales'!$B$24*'Supuestos Generales'!$B$105</f>
        <v/>
      </c>
      <c r="G18" s="754">
        <f>Onboarding!G6*'Supuestos Generales'!$B$99*'Supuestos Generales'!$B$24*'Supuestos Generales'!$B$105</f>
        <v/>
      </c>
      <c r="H18" s="754">
        <f>Onboarding!H6*'Supuestos Generales'!$B$99*'Supuestos Generales'!$B$24*'Supuestos Generales'!$B$105</f>
        <v/>
      </c>
      <c r="I18" s="754">
        <f>Onboarding!I6*'Supuestos Generales'!$B$99*'Supuestos Generales'!$B$24*'Supuestos Generales'!$B$105</f>
        <v/>
      </c>
      <c r="J18" s="754">
        <f>Onboarding!J6*'Supuestos Generales'!$B$99*'Supuestos Generales'!$B$24*'Supuestos Generales'!$B$105</f>
        <v/>
      </c>
      <c r="K18" s="754">
        <f>Onboarding!K6*'Supuestos Generales'!$B$99*'Supuestos Generales'!$B$24*'Supuestos Generales'!$B$105</f>
        <v/>
      </c>
      <c r="L18" s="754">
        <f>Onboarding!L6*'Supuestos Generales'!$B$99*'Supuestos Generales'!$B$24*'Supuestos Generales'!$B$105</f>
        <v/>
      </c>
      <c r="M18" s="754">
        <f>Onboarding!M6*'Supuestos Generales'!$B$99*'Supuestos Generales'!$B$24*'Supuestos Generales'!$B$105</f>
        <v/>
      </c>
      <c r="N18" s="754">
        <f>Onboarding!N6*'Supuestos Generales'!$B$99*'Supuestos Generales'!$B$24*'Supuestos Generales'!$B$105</f>
        <v/>
      </c>
      <c r="O18" s="754">
        <f>Onboarding!O6*'Supuestos Generales'!$B$99*'Supuestos Generales'!$B$24*'Supuestos Generales'!$B$105</f>
        <v/>
      </c>
      <c r="P18" s="754">
        <f>Onboarding!P6*'Supuestos Generales'!$B$99*'Supuestos Generales'!$B$24*'Supuestos Generales'!$B$105</f>
        <v/>
      </c>
      <c r="Q18" s="754">
        <f>Onboarding!Q6*'Supuestos Generales'!$B$99*'Supuestos Generales'!$B$24*'Supuestos Generales'!$B$105</f>
        <v/>
      </c>
      <c r="R18" s="754">
        <f>Onboarding!R6*'Supuestos Generales'!$B$99*'Supuestos Generales'!$B$24*'Supuestos Generales'!$B$105</f>
        <v/>
      </c>
      <c r="S18" s="754">
        <f>Onboarding!S6*'Supuestos Generales'!$B$99*'Supuestos Generales'!$B$24*'Supuestos Generales'!$B$105</f>
        <v/>
      </c>
      <c r="T18" s="754">
        <f>Onboarding!T6*'Supuestos Generales'!$B$99*'Supuestos Generales'!$B$24*'Supuestos Generales'!$B$105</f>
        <v/>
      </c>
      <c r="U18" s="754">
        <f>Onboarding!U6*'Supuestos Generales'!$B$99*'Supuestos Generales'!$B$24*'Supuestos Generales'!$B$105</f>
        <v/>
      </c>
      <c r="V18" s="754">
        <f>Onboarding!V6*'Supuestos Generales'!$B$99*'Supuestos Generales'!$B$24*'Supuestos Generales'!$B$105</f>
        <v/>
      </c>
      <c r="W18" s="754">
        <f>Onboarding!W6*'Supuestos Generales'!$B$99*'Supuestos Generales'!$B$24*'Supuestos Generales'!$B$105</f>
        <v/>
      </c>
      <c r="X18" s="754">
        <f>Onboarding!X6*'Supuestos Generales'!$B$99*'Supuestos Generales'!$B$24*'Supuestos Generales'!$B$105</f>
        <v/>
      </c>
      <c r="Y18" s="754">
        <f>Onboarding!Y6*'Supuestos Generales'!$B$99*'Supuestos Generales'!$B$24*'Supuestos Generales'!$B$105</f>
        <v/>
      </c>
      <c r="Z18" s="754">
        <f>Onboarding!Z6*'Supuestos Generales'!$B$99*'Supuestos Generales'!$B$24*'Supuestos Generales'!$B$105</f>
        <v/>
      </c>
      <c r="AA18" s="754">
        <f>Onboarding!AA6*'Supuestos Generales'!$B$99*'Supuestos Generales'!$B$24*'Supuestos Generales'!$B$105</f>
        <v/>
      </c>
      <c r="AB18" s="754">
        <f>Onboarding!AB6*'Supuestos Generales'!$B$99*'Supuestos Generales'!$B$24*'Supuestos Generales'!$B$105</f>
        <v/>
      </c>
      <c r="AC18" s="754">
        <f>Onboarding!AC6*'Supuestos Generales'!$B$99*'Supuestos Generales'!$B$24*'Supuestos Generales'!$B$105</f>
        <v/>
      </c>
      <c r="AD18" s="754">
        <f>Onboarding!AD6*'Supuestos Generales'!$B$99*'Supuestos Generales'!$B$24*'Supuestos Generales'!$B$105</f>
        <v/>
      </c>
      <c r="AE18" s="754">
        <f>Onboarding!AE6*'Supuestos Generales'!$B$99*'Supuestos Generales'!$B$24*'Supuestos Generales'!$B$105</f>
        <v/>
      </c>
      <c r="AF18" s="754">
        <f>Onboarding!AF6*'Supuestos Generales'!$B$99*'Supuestos Generales'!$B$24*'Supuestos Generales'!$B$105</f>
        <v/>
      </c>
      <c r="AG18" s="754">
        <f>Onboarding!AG6*'Supuestos Generales'!$B$99*'Supuestos Generales'!$B$24*'Supuestos Generales'!$B$105</f>
        <v/>
      </c>
      <c r="AH18" s="754">
        <f>Onboarding!AH6*'Supuestos Generales'!$B$99*'Supuestos Generales'!$B$24*'Supuestos Generales'!$B$105</f>
        <v/>
      </c>
      <c r="AI18" s="754">
        <f>Onboarding!AI6*'Supuestos Generales'!$B$99*'Supuestos Generales'!$B$24*'Supuestos Generales'!$B$105</f>
        <v/>
      </c>
      <c r="AJ18" s="754">
        <f>Onboarding!AJ6*'Supuestos Generales'!$B$99*'Supuestos Generales'!$B$24*'Supuestos Generales'!$B$105</f>
        <v/>
      </c>
      <c r="AK18" s="754">
        <f>Onboarding!AK6*'Supuestos Generales'!$B$99*'Supuestos Generales'!$B$24*'Supuestos Generales'!$B$105</f>
        <v/>
      </c>
      <c r="AL18" s="754">
        <f>Onboarding!AL6*'Supuestos Generales'!$B$99*'Supuestos Generales'!$B$24*'Supuestos Generales'!$B$105</f>
        <v/>
      </c>
      <c r="AM18" s="754">
        <f>Onboarding!AM6*'Supuestos Generales'!$B$99*'Supuestos Generales'!$B$24*'Supuestos Generales'!$B$105</f>
        <v/>
      </c>
      <c r="AN18" s="754">
        <f>Onboarding!AN6*'Supuestos Generales'!$B$99*'Supuestos Generales'!$B$24*'Supuestos Generales'!$B$105</f>
        <v/>
      </c>
      <c r="AO18" s="754">
        <f>Onboarding!AO6*'Supuestos Generales'!$B$99*'Supuestos Generales'!$B$24*'Supuestos Generales'!$B$105</f>
        <v/>
      </c>
      <c r="AP18" s="754">
        <f>Onboarding!AP6*'Supuestos Generales'!$B$99*'Supuestos Generales'!$B$24*'Supuestos Generales'!$B$105</f>
        <v/>
      </c>
      <c r="AQ18" s="754">
        <f>Onboarding!AQ6*'Supuestos Generales'!$B$99*'Supuestos Generales'!$B$24*'Supuestos Generales'!$B$105</f>
        <v/>
      </c>
      <c r="AR18" s="754">
        <f>Onboarding!AR6*'Supuestos Generales'!$B$99*'Supuestos Generales'!$B$24*'Supuestos Generales'!$B$105</f>
        <v/>
      </c>
      <c r="AS18" s="754">
        <f>Onboarding!AS6*'Supuestos Generales'!$B$99*'Supuestos Generales'!$B$24*'Supuestos Generales'!$B$105</f>
        <v/>
      </c>
      <c r="AT18" s="754">
        <f>Onboarding!AT6*'Supuestos Generales'!$B$99*'Supuestos Generales'!$B$24*'Supuestos Generales'!$B$105</f>
        <v/>
      </c>
      <c r="AU18" s="754">
        <f>Onboarding!AU6*'Supuestos Generales'!$B$99*'Supuestos Generales'!$B$24*'Supuestos Generales'!$B$105</f>
        <v/>
      </c>
      <c r="AV18" s="754">
        <f>Onboarding!AV6*'Supuestos Generales'!$B$99*'Supuestos Generales'!$B$24*'Supuestos Generales'!$B$105</f>
        <v/>
      </c>
      <c r="AW18" s="754">
        <f>Onboarding!AW6*'Supuestos Generales'!$B$99*'Supuestos Generales'!$B$24*'Supuestos Generales'!$B$105</f>
        <v/>
      </c>
      <c r="AX18" s="754">
        <f>Onboarding!AX6*'Supuestos Generales'!$B$99*'Supuestos Generales'!$B$24*'Supuestos Generales'!$B$105</f>
        <v/>
      </c>
      <c r="AY18" s="754">
        <f>Onboarding!AY6*'Supuestos Generales'!$B$99*'Supuestos Generales'!$B$24*'Supuestos Generales'!$B$105</f>
        <v/>
      </c>
      <c r="AZ18" s="754">
        <f>Onboarding!AZ6*'Supuestos Generales'!$B$99*'Supuestos Generales'!$B$24*'Supuestos Generales'!$B$105</f>
        <v/>
      </c>
      <c r="BA18" s="754">
        <f>Onboarding!BA6*'Supuestos Generales'!$B$99*'Supuestos Generales'!$B$24*'Supuestos Generales'!$B$105</f>
        <v/>
      </c>
      <c r="BB18" s="754">
        <f>Onboarding!BB6*'Supuestos Generales'!$B$99*'Supuestos Generales'!$B$24*'Supuestos Generales'!$B$105</f>
        <v/>
      </c>
      <c r="BC18" s="754">
        <f>Onboarding!BC6*'Supuestos Generales'!$B$99*'Supuestos Generales'!$B$24*'Supuestos Generales'!$B$105</f>
        <v/>
      </c>
      <c r="BD18" s="754">
        <f>Onboarding!BD6*'Supuestos Generales'!$B$99*'Supuestos Generales'!$B$24*'Supuestos Generales'!$B$105</f>
        <v/>
      </c>
      <c r="BE18" s="754">
        <f>Onboarding!BE6*'Supuestos Generales'!$B$99*'Supuestos Generales'!$B$24*'Supuestos Generales'!$B$105</f>
        <v/>
      </c>
      <c r="BF18" s="754">
        <f>Onboarding!BF6*'Supuestos Generales'!$B$99*'Supuestos Generales'!$B$24*'Supuestos Generales'!$B$105</f>
        <v/>
      </c>
      <c r="BG18" s="754">
        <f>Onboarding!BG6*'Supuestos Generales'!$B$99*'Supuestos Generales'!$B$24*'Supuestos Generales'!$B$105</f>
        <v/>
      </c>
      <c r="BH18" s="754">
        <f>Onboarding!BH6*'Supuestos Generales'!$B$99*'Supuestos Generales'!$B$24*'Supuestos Generales'!$B$105</f>
        <v/>
      </c>
      <c r="BI18" s="754">
        <f>Onboarding!BI6*'Supuestos Generales'!$B$99*'Supuestos Generales'!$B$24*'Supuestos Generales'!$B$105</f>
        <v/>
      </c>
      <c r="BJ18" s="757">
        <f>SUM(B18:BI18)</f>
        <v/>
      </c>
    </row>
    <row r="19">
      <c r="A19" s="35" t="inlineStr">
        <is>
          <t>Comisiones Fees 1er año - Vend. propios</t>
        </is>
      </c>
      <c r="B19" s="754">
        <f>SUM(OFFSET(Onboarding!$B6,0,MAX(0,COLUMN(B3)-COLUMN($B$3)-'Supuestos Generales'!$B$111+1),1,MIN(COLUMN(B3)-COLUMN($B$3)+1,'Supuestos Generales'!$B$111)))*'Supuestos Generales'!$B$96*('Supuestos Generales'!$B$26*'Supuestos Generales'!$B$19*'Supuestos Generales'!$B$20+'Supuestos Generales'!$B$27*'Supuestos Generales'!$B$19*'Supuestos Generales'!$B$20*Onboarding!B22)*'Supuestos Generales'!$B$107</f>
        <v/>
      </c>
      <c r="C19" s="754">
        <f>SUM(OFFSET(Onboarding!$B6,0,MAX(0,COLUMN(C3)-COLUMN($B$3)-'Supuestos Generales'!$B$111+1),1,MIN(COLUMN(C3)-COLUMN($B$3)+1,'Supuestos Generales'!$B$111)))*'Supuestos Generales'!$B$96*('Supuestos Generales'!$B$26*'Supuestos Generales'!$B$19*'Supuestos Generales'!$B$20+'Supuestos Generales'!$B$27*'Supuestos Generales'!$B$19*'Supuestos Generales'!$B$20*Onboarding!C22)*'Supuestos Generales'!$B$107</f>
        <v/>
      </c>
      <c r="D19" s="754">
        <f>SUM(OFFSET(Onboarding!$B6,0,MAX(0,COLUMN(D3)-COLUMN($B$3)-'Supuestos Generales'!$B$111+1),1,MIN(COLUMN(D3)-COLUMN($B$3)+1,'Supuestos Generales'!$B$111)))*'Supuestos Generales'!$B$96*('Supuestos Generales'!$B$26*'Supuestos Generales'!$B$19*'Supuestos Generales'!$B$20+'Supuestos Generales'!$B$27*'Supuestos Generales'!$B$19*'Supuestos Generales'!$B$20*Onboarding!D22)*'Supuestos Generales'!$B$107</f>
        <v/>
      </c>
      <c r="E19" s="754">
        <f>SUM(OFFSET(Onboarding!$B6,0,MAX(0,COLUMN(E3)-COLUMN($B$3)-'Supuestos Generales'!$B$111+1),1,MIN(COLUMN(E3)-COLUMN($B$3)+1,'Supuestos Generales'!$B$111)))*'Supuestos Generales'!$B$96*('Supuestos Generales'!$B$26*'Supuestos Generales'!$B$19*'Supuestos Generales'!$B$20+'Supuestos Generales'!$B$27*'Supuestos Generales'!$B$19*'Supuestos Generales'!$B$20*Onboarding!E22)*'Supuestos Generales'!$B$107</f>
        <v/>
      </c>
      <c r="F19" s="754">
        <f>SUM(OFFSET(Onboarding!$B6,0,MAX(0,COLUMN(F3)-COLUMN($B$3)-'Supuestos Generales'!$B$111+1),1,MIN(COLUMN(F3)-COLUMN($B$3)+1,'Supuestos Generales'!$B$111)))*'Supuestos Generales'!$B$96*('Supuestos Generales'!$B$26*'Supuestos Generales'!$B$19*'Supuestos Generales'!$B$20+'Supuestos Generales'!$B$27*'Supuestos Generales'!$B$19*'Supuestos Generales'!$B$20*Onboarding!F22)*'Supuestos Generales'!$B$107</f>
        <v/>
      </c>
      <c r="G19" s="754">
        <f>SUM(OFFSET(Onboarding!$B6,0,MAX(0,COLUMN(G3)-COLUMN($B$3)-'Supuestos Generales'!$B$111+1),1,MIN(COLUMN(G3)-COLUMN($B$3)+1,'Supuestos Generales'!$B$111)))*'Supuestos Generales'!$B$96*('Supuestos Generales'!$B$26*'Supuestos Generales'!$B$19*'Supuestos Generales'!$B$20+'Supuestos Generales'!$B$27*'Supuestos Generales'!$B$19*'Supuestos Generales'!$B$20*Onboarding!G22)*'Supuestos Generales'!$B$107</f>
        <v/>
      </c>
      <c r="H19" s="754">
        <f>SUM(OFFSET(Onboarding!$B6,0,MAX(0,COLUMN(H3)-COLUMN($B$3)-'Supuestos Generales'!$B$111+1),1,MIN(COLUMN(H3)-COLUMN($B$3)+1,'Supuestos Generales'!$B$111)))*'Supuestos Generales'!$B$96*('Supuestos Generales'!$B$26*'Supuestos Generales'!$B$19*'Supuestos Generales'!$B$20+'Supuestos Generales'!$B$27*'Supuestos Generales'!$B$19*'Supuestos Generales'!$B$20*Onboarding!H22)*'Supuestos Generales'!$B$107</f>
        <v/>
      </c>
      <c r="I19" s="754">
        <f>SUM(OFFSET(Onboarding!$B6,0,MAX(0,COLUMN(I3)-COLUMN($B$3)-'Supuestos Generales'!$B$111+1),1,MIN(COLUMN(I3)-COLUMN($B$3)+1,'Supuestos Generales'!$B$111)))*'Supuestos Generales'!$B$96*('Supuestos Generales'!$B$26*'Supuestos Generales'!$B$19*'Supuestos Generales'!$B$20+'Supuestos Generales'!$B$27*'Supuestos Generales'!$B$19*'Supuestos Generales'!$B$20*Onboarding!I22)*'Supuestos Generales'!$B$107</f>
        <v/>
      </c>
      <c r="J19" s="754">
        <f>SUM(OFFSET(Onboarding!$B6,0,MAX(0,COLUMN(J3)-COLUMN($B$3)-'Supuestos Generales'!$B$111+1),1,MIN(COLUMN(J3)-COLUMN($B$3)+1,'Supuestos Generales'!$B$111)))*'Supuestos Generales'!$B$96*('Supuestos Generales'!$B$26*'Supuestos Generales'!$B$19*'Supuestos Generales'!$B$20+'Supuestos Generales'!$B$27*'Supuestos Generales'!$B$19*'Supuestos Generales'!$B$20*Onboarding!J22)*'Supuestos Generales'!$B$107</f>
        <v/>
      </c>
      <c r="K19" s="754">
        <f>SUM(OFFSET(Onboarding!$B6,0,MAX(0,COLUMN(K3)-COLUMN($B$3)-'Supuestos Generales'!$B$111+1),1,MIN(COLUMN(K3)-COLUMN($B$3)+1,'Supuestos Generales'!$B$111)))*'Supuestos Generales'!$B$96*('Supuestos Generales'!$B$26*'Supuestos Generales'!$B$19*'Supuestos Generales'!$B$20+'Supuestos Generales'!$B$27*'Supuestos Generales'!$B$19*'Supuestos Generales'!$B$20*Onboarding!K22)*'Supuestos Generales'!$B$107</f>
        <v/>
      </c>
      <c r="L19" s="754">
        <f>SUM(OFFSET(Onboarding!$B6,0,MAX(0,COLUMN(L3)-COLUMN($B$3)-'Supuestos Generales'!$B$111+1),1,MIN(COLUMN(L3)-COLUMN($B$3)+1,'Supuestos Generales'!$B$111)))*'Supuestos Generales'!$B$96*('Supuestos Generales'!$B$26*'Supuestos Generales'!$B$19*'Supuestos Generales'!$B$20+'Supuestos Generales'!$B$27*'Supuestos Generales'!$B$19*'Supuestos Generales'!$B$20*Onboarding!L22)*'Supuestos Generales'!$B$107</f>
        <v/>
      </c>
      <c r="M19" s="754">
        <f>SUM(OFFSET(Onboarding!$B6,0,MAX(0,COLUMN(M3)-COLUMN($B$3)-'Supuestos Generales'!$B$111+1),1,MIN(COLUMN(M3)-COLUMN($B$3)+1,'Supuestos Generales'!$B$111)))*'Supuestos Generales'!$B$96*('Supuestos Generales'!$B$26*'Supuestos Generales'!$B$19*'Supuestos Generales'!$B$20+'Supuestos Generales'!$B$27*'Supuestos Generales'!$B$19*'Supuestos Generales'!$B$20*Onboarding!M22)*'Supuestos Generales'!$B$107</f>
        <v/>
      </c>
      <c r="N19" s="754">
        <f>SUM(OFFSET(Onboarding!$B6,0,MAX(0,COLUMN(N3)-COLUMN($B$3)-'Supuestos Generales'!$B$111+1),1,MIN(COLUMN(N3)-COLUMN($B$3)+1,'Supuestos Generales'!$B$111)))*'Supuestos Generales'!$B$96*('Supuestos Generales'!$B$26*'Supuestos Generales'!$B$19*'Supuestos Generales'!$B$20+'Supuestos Generales'!$B$27*'Supuestos Generales'!$B$19*'Supuestos Generales'!$B$20*Onboarding!N22)*'Supuestos Generales'!$B$107</f>
        <v/>
      </c>
      <c r="O19" s="754">
        <f>SUM(OFFSET(Onboarding!$B6,0,MAX(0,COLUMN(O3)-COLUMN($B$3)-'Supuestos Generales'!$B$111+1),1,MIN(COLUMN(O3)-COLUMN($B$3)+1,'Supuestos Generales'!$B$111)))*'Supuestos Generales'!$B$96*('Supuestos Generales'!$B$26*'Supuestos Generales'!$B$19*'Supuestos Generales'!$B$20+'Supuestos Generales'!$B$27*'Supuestos Generales'!$B$19*'Supuestos Generales'!$B$20*Onboarding!O22)*'Supuestos Generales'!$B$107</f>
        <v/>
      </c>
      <c r="P19" s="754">
        <f>SUM(OFFSET(Onboarding!$B6,0,MAX(0,COLUMN(P3)-COLUMN($B$3)-'Supuestos Generales'!$B$111+1),1,MIN(COLUMN(P3)-COLUMN($B$3)+1,'Supuestos Generales'!$B$111)))*'Supuestos Generales'!$B$96*('Supuestos Generales'!$B$26*'Supuestos Generales'!$B$19*'Supuestos Generales'!$B$20+'Supuestos Generales'!$B$27*'Supuestos Generales'!$B$19*'Supuestos Generales'!$B$20*Onboarding!P22)*'Supuestos Generales'!$B$107</f>
        <v/>
      </c>
      <c r="Q19" s="754">
        <f>SUM(OFFSET(Onboarding!$B6,0,MAX(0,COLUMN(Q3)-COLUMN($B$3)-'Supuestos Generales'!$B$111+1),1,MIN(COLUMN(Q3)-COLUMN($B$3)+1,'Supuestos Generales'!$B$111)))*'Supuestos Generales'!$B$96*('Supuestos Generales'!$B$26*'Supuestos Generales'!$B$19*'Supuestos Generales'!$B$20+'Supuestos Generales'!$B$27*'Supuestos Generales'!$B$19*'Supuestos Generales'!$B$20*Onboarding!Q22)*'Supuestos Generales'!$B$107</f>
        <v/>
      </c>
      <c r="R19" s="754">
        <f>SUM(OFFSET(Onboarding!$B6,0,MAX(0,COLUMN(R3)-COLUMN($B$3)-'Supuestos Generales'!$B$111+1),1,MIN(COLUMN(R3)-COLUMN($B$3)+1,'Supuestos Generales'!$B$111)))*'Supuestos Generales'!$B$96*('Supuestos Generales'!$B$26*'Supuestos Generales'!$B$19*'Supuestos Generales'!$B$20+'Supuestos Generales'!$B$27*'Supuestos Generales'!$B$19*'Supuestos Generales'!$B$20*Onboarding!R22)*'Supuestos Generales'!$B$107</f>
        <v/>
      </c>
      <c r="S19" s="754">
        <f>SUM(OFFSET(Onboarding!$B6,0,MAX(0,COLUMN(S3)-COLUMN($B$3)-'Supuestos Generales'!$B$111+1),1,MIN(COLUMN(S3)-COLUMN($B$3)+1,'Supuestos Generales'!$B$111)))*'Supuestos Generales'!$B$96*('Supuestos Generales'!$B$26*'Supuestos Generales'!$B$19*'Supuestos Generales'!$B$20+'Supuestos Generales'!$B$27*'Supuestos Generales'!$B$19*'Supuestos Generales'!$B$20*Onboarding!S22)*'Supuestos Generales'!$B$107</f>
        <v/>
      </c>
      <c r="T19" s="754">
        <f>SUM(OFFSET(Onboarding!$B6,0,MAX(0,COLUMN(T3)-COLUMN($B$3)-'Supuestos Generales'!$B$111+1),1,MIN(COLUMN(T3)-COLUMN($B$3)+1,'Supuestos Generales'!$B$111)))*'Supuestos Generales'!$B$96*('Supuestos Generales'!$B$26*'Supuestos Generales'!$B$19*'Supuestos Generales'!$B$20+'Supuestos Generales'!$B$27*'Supuestos Generales'!$B$19*'Supuestos Generales'!$B$20*Onboarding!T22)*'Supuestos Generales'!$B$107</f>
        <v/>
      </c>
      <c r="U19" s="754">
        <f>SUM(OFFSET(Onboarding!$B6,0,MAX(0,COLUMN(U3)-COLUMN($B$3)-'Supuestos Generales'!$B$111+1),1,MIN(COLUMN(U3)-COLUMN($B$3)+1,'Supuestos Generales'!$B$111)))*'Supuestos Generales'!$B$96*('Supuestos Generales'!$B$26*'Supuestos Generales'!$B$19*'Supuestos Generales'!$B$20+'Supuestos Generales'!$B$27*'Supuestos Generales'!$B$19*'Supuestos Generales'!$B$20*Onboarding!U22)*'Supuestos Generales'!$B$107</f>
        <v/>
      </c>
      <c r="V19" s="754">
        <f>SUM(OFFSET(Onboarding!$B6,0,MAX(0,COLUMN(V3)-COLUMN($B$3)-'Supuestos Generales'!$B$111+1),1,MIN(COLUMN(V3)-COLUMN($B$3)+1,'Supuestos Generales'!$B$111)))*'Supuestos Generales'!$B$96*('Supuestos Generales'!$B$26*'Supuestos Generales'!$B$19*'Supuestos Generales'!$B$20+'Supuestos Generales'!$B$27*'Supuestos Generales'!$B$19*'Supuestos Generales'!$B$20*Onboarding!V22)*'Supuestos Generales'!$B$107</f>
        <v/>
      </c>
      <c r="W19" s="754">
        <f>SUM(OFFSET(Onboarding!$B6,0,MAX(0,COLUMN(W3)-COLUMN($B$3)-'Supuestos Generales'!$B$111+1),1,MIN(COLUMN(W3)-COLUMN($B$3)+1,'Supuestos Generales'!$B$111)))*'Supuestos Generales'!$B$96*('Supuestos Generales'!$B$26*'Supuestos Generales'!$B$19*'Supuestos Generales'!$B$20+'Supuestos Generales'!$B$27*'Supuestos Generales'!$B$19*'Supuestos Generales'!$B$20*Onboarding!W22)*'Supuestos Generales'!$B$107</f>
        <v/>
      </c>
      <c r="X19" s="754">
        <f>SUM(OFFSET(Onboarding!$B6,0,MAX(0,COLUMN(X3)-COLUMN($B$3)-'Supuestos Generales'!$B$111+1),1,MIN(COLUMN(X3)-COLUMN($B$3)+1,'Supuestos Generales'!$B$111)))*'Supuestos Generales'!$B$96*('Supuestos Generales'!$B$26*'Supuestos Generales'!$B$19*'Supuestos Generales'!$B$20+'Supuestos Generales'!$B$27*'Supuestos Generales'!$B$19*'Supuestos Generales'!$B$20*Onboarding!X22)*'Supuestos Generales'!$B$107</f>
        <v/>
      </c>
      <c r="Y19" s="754">
        <f>SUM(OFFSET(Onboarding!$B6,0,MAX(0,COLUMN(Y3)-COLUMN($B$3)-'Supuestos Generales'!$B$111+1),1,MIN(COLUMN(Y3)-COLUMN($B$3)+1,'Supuestos Generales'!$B$111)))*'Supuestos Generales'!$B$96*('Supuestos Generales'!$B$26*'Supuestos Generales'!$B$19*'Supuestos Generales'!$B$20+'Supuestos Generales'!$B$27*'Supuestos Generales'!$B$19*'Supuestos Generales'!$B$20*Onboarding!Y22)*'Supuestos Generales'!$B$107</f>
        <v/>
      </c>
      <c r="Z19" s="754">
        <f>SUM(OFFSET(Onboarding!$B6,0,MAX(0,COLUMN(Z3)-COLUMN($B$3)-'Supuestos Generales'!$B$111+1),1,MIN(COLUMN(Z3)-COLUMN($B$3)+1,'Supuestos Generales'!$B$111)))*'Supuestos Generales'!$B$96*('Supuestos Generales'!$B$26*'Supuestos Generales'!$B$19*'Supuestos Generales'!$B$20+'Supuestos Generales'!$B$27*'Supuestos Generales'!$B$19*'Supuestos Generales'!$B$20*Onboarding!Z22)*'Supuestos Generales'!$B$107</f>
        <v/>
      </c>
      <c r="AA19" s="754">
        <f>SUM(OFFSET(Onboarding!$B6,0,MAX(0,COLUMN(AA3)-COLUMN($B$3)-'Supuestos Generales'!$B$111+1),1,MIN(COLUMN(AA3)-COLUMN($B$3)+1,'Supuestos Generales'!$B$111)))*'Supuestos Generales'!$B$96*('Supuestos Generales'!$B$26*'Supuestos Generales'!$B$19*'Supuestos Generales'!$B$20+'Supuestos Generales'!$B$27*'Supuestos Generales'!$B$19*'Supuestos Generales'!$B$20*Onboarding!AA22)*'Supuestos Generales'!$B$107</f>
        <v/>
      </c>
      <c r="AB19" s="754">
        <f>SUM(OFFSET(Onboarding!$B6,0,MAX(0,COLUMN(AB3)-COLUMN($B$3)-'Supuestos Generales'!$B$111+1),1,MIN(COLUMN(AB3)-COLUMN($B$3)+1,'Supuestos Generales'!$B$111)))*'Supuestos Generales'!$B$96*('Supuestos Generales'!$B$26*'Supuestos Generales'!$B$19*'Supuestos Generales'!$B$20+'Supuestos Generales'!$B$27*'Supuestos Generales'!$B$19*'Supuestos Generales'!$B$20*Onboarding!AB22)*'Supuestos Generales'!$B$107</f>
        <v/>
      </c>
      <c r="AC19" s="754">
        <f>SUM(OFFSET(Onboarding!$B6,0,MAX(0,COLUMN(AC3)-COLUMN($B$3)-'Supuestos Generales'!$B$111+1),1,MIN(COLUMN(AC3)-COLUMN($B$3)+1,'Supuestos Generales'!$B$111)))*'Supuestos Generales'!$B$96*('Supuestos Generales'!$B$26*'Supuestos Generales'!$B$19*'Supuestos Generales'!$B$20+'Supuestos Generales'!$B$27*'Supuestos Generales'!$B$19*'Supuestos Generales'!$B$20*Onboarding!AC22)*'Supuestos Generales'!$B$107</f>
        <v/>
      </c>
      <c r="AD19" s="754">
        <f>SUM(OFFSET(Onboarding!$B6,0,MAX(0,COLUMN(AD3)-COLUMN($B$3)-'Supuestos Generales'!$B$111+1),1,MIN(COLUMN(AD3)-COLUMN($B$3)+1,'Supuestos Generales'!$B$111)))*'Supuestos Generales'!$B$96*('Supuestos Generales'!$B$26*'Supuestos Generales'!$B$19*'Supuestos Generales'!$B$20+'Supuestos Generales'!$B$27*'Supuestos Generales'!$B$19*'Supuestos Generales'!$B$20*Onboarding!AD22)*'Supuestos Generales'!$B$107</f>
        <v/>
      </c>
      <c r="AE19" s="754">
        <f>SUM(OFFSET(Onboarding!$B6,0,MAX(0,COLUMN(AE3)-COLUMN($B$3)-'Supuestos Generales'!$B$111+1),1,MIN(COLUMN(AE3)-COLUMN($B$3)+1,'Supuestos Generales'!$B$111)))*'Supuestos Generales'!$B$96*('Supuestos Generales'!$B$26*'Supuestos Generales'!$B$19*'Supuestos Generales'!$B$20+'Supuestos Generales'!$B$27*'Supuestos Generales'!$B$19*'Supuestos Generales'!$B$20*Onboarding!AE22)*'Supuestos Generales'!$B$107</f>
        <v/>
      </c>
      <c r="AF19" s="754">
        <f>SUM(OFFSET(Onboarding!$B6,0,MAX(0,COLUMN(AF3)-COLUMN($B$3)-'Supuestos Generales'!$B$111+1),1,MIN(COLUMN(AF3)-COLUMN($B$3)+1,'Supuestos Generales'!$B$111)))*'Supuestos Generales'!$B$96*('Supuestos Generales'!$B$26*'Supuestos Generales'!$B$19*'Supuestos Generales'!$B$20+'Supuestos Generales'!$B$27*'Supuestos Generales'!$B$19*'Supuestos Generales'!$B$20*Onboarding!AF22)*'Supuestos Generales'!$B$107</f>
        <v/>
      </c>
      <c r="AG19" s="754">
        <f>SUM(OFFSET(Onboarding!$B6,0,MAX(0,COLUMN(AG3)-COLUMN($B$3)-'Supuestos Generales'!$B$111+1),1,MIN(COLUMN(AG3)-COLUMN($B$3)+1,'Supuestos Generales'!$B$111)))*'Supuestos Generales'!$B$96*('Supuestos Generales'!$B$26*'Supuestos Generales'!$B$19*'Supuestos Generales'!$B$20+'Supuestos Generales'!$B$27*'Supuestos Generales'!$B$19*'Supuestos Generales'!$B$20*Onboarding!AG22)*'Supuestos Generales'!$B$107</f>
        <v/>
      </c>
      <c r="AH19" s="754">
        <f>SUM(OFFSET(Onboarding!$B6,0,MAX(0,COLUMN(AH3)-COLUMN($B$3)-'Supuestos Generales'!$B$111+1),1,MIN(COLUMN(AH3)-COLUMN($B$3)+1,'Supuestos Generales'!$B$111)))*'Supuestos Generales'!$B$96*('Supuestos Generales'!$B$26*'Supuestos Generales'!$B$19*'Supuestos Generales'!$B$20+'Supuestos Generales'!$B$27*'Supuestos Generales'!$B$19*'Supuestos Generales'!$B$20*Onboarding!AH22)*'Supuestos Generales'!$B$107</f>
        <v/>
      </c>
      <c r="AI19" s="754">
        <f>SUM(OFFSET(Onboarding!$B6,0,MAX(0,COLUMN(AI3)-COLUMN($B$3)-'Supuestos Generales'!$B$111+1),1,MIN(COLUMN(AI3)-COLUMN($B$3)+1,'Supuestos Generales'!$B$111)))*'Supuestos Generales'!$B$96*('Supuestos Generales'!$B$26*'Supuestos Generales'!$B$19*'Supuestos Generales'!$B$20+'Supuestos Generales'!$B$27*'Supuestos Generales'!$B$19*'Supuestos Generales'!$B$20*Onboarding!AI22)*'Supuestos Generales'!$B$107</f>
        <v/>
      </c>
      <c r="AJ19" s="754">
        <f>SUM(OFFSET(Onboarding!$B6,0,MAX(0,COLUMN(AJ3)-COLUMN($B$3)-'Supuestos Generales'!$B$111+1),1,MIN(COLUMN(AJ3)-COLUMN($B$3)+1,'Supuestos Generales'!$B$111)))*'Supuestos Generales'!$B$96*('Supuestos Generales'!$B$26*'Supuestos Generales'!$B$19*'Supuestos Generales'!$B$20+'Supuestos Generales'!$B$27*'Supuestos Generales'!$B$19*'Supuestos Generales'!$B$20*Onboarding!AJ22)*'Supuestos Generales'!$B$107</f>
        <v/>
      </c>
      <c r="AK19" s="754">
        <f>SUM(OFFSET(Onboarding!$B6,0,MAX(0,COLUMN(AK3)-COLUMN($B$3)-'Supuestos Generales'!$B$111+1),1,MIN(COLUMN(AK3)-COLUMN($B$3)+1,'Supuestos Generales'!$B$111)))*'Supuestos Generales'!$B$96*('Supuestos Generales'!$B$26*'Supuestos Generales'!$B$19*'Supuestos Generales'!$B$20+'Supuestos Generales'!$B$27*'Supuestos Generales'!$B$19*'Supuestos Generales'!$B$20*Onboarding!AK22)*'Supuestos Generales'!$B$107</f>
        <v/>
      </c>
      <c r="AL19" s="754">
        <f>SUM(OFFSET(Onboarding!$B6,0,MAX(0,COLUMN(AL3)-COLUMN($B$3)-'Supuestos Generales'!$B$111+1),1,MIN(COLUMN(AL3)-COLUMN($B$3)+1,'Supuestos Generales'!$B$111)))*'Supuestos Generales'!$B$96*('Supuestos Generales'!$B$26*'Supuestos Generales'!$B$19*'Supuestos Generales'!$B$20+'Supuestos Generales'!$B$27*'Supuestos Generales'!$B$19*'Supuestos Generales'!$B$20*Onboarding!AL22)*'Supuestos Generales'!$B$107</f>
        <v/>
      </c>
      <c r="AM19" s="754">
        <f>SUM(OFFSET(Onboarding!$B6,0,MAX(0,COLUMN(AM3)-COLUMN($B$3)-'Supuestos Generales'!$B$111+1),1,MIN(COLUMN(AM3)-COLUMN($B$3)+1,'Supuestos Generales'!$B$111)))*'Supuestos Generales'!$B$96*('Supuestos Generales'!$B$26*'Supuestos Generales'!$B$19*'Supuestos Generales'!$B$20+'Supuestos Generales'!$B$27*'Supuestos Generales'!$B$19*'Supuestos Generales'!$B$20*Onboarding!AM22)*'Supuestos Generales'!$B$107</f>
        <v/>
      </c>
      <c r="AN19" s="754">
        <f>SUM(OFFSET(Onboarding!$B6,0,MAX(0,COLUMN(AN3)-COLUMN($B$3)-'Supuestos Generales'!$B$111+1),1,MIN(COLUMN(AN3)-COLUMN($B$3)+1,'Supuestos Generales'!$B$111)))*'Supuestos Generales'!$B$96*('Supuestos Generales'!$B$26*'Supuestos Generales'!$B$19*'Supuestos Generales'!$B$20+'Supuestos Generales'!$B$27*'Supuestos Generales'!$B$19*'Supuestos Generales'!$B$20*Onboarding!AN22)*'Supuestos Generales'!$B$107</f>
        <v/>
      </c>
      <c r="AO19" s="754">
        <f>SUM(OFFSET(Onboarding!$B6,0,MAX(0,COLUMN(AO3)-COLUMN($B$3)-'Supuestos Generales'!$B$111+1),1,MIN(COLUMN(AO3)-COLUMN($B$3)+1,'Supuestos Generales'!$B$111)))*'Supuestos Generales'!$B$96*('Supuestos Generales'!$B$26*'Supuestos Generales'!$B$19*'Supuestos Generales'!$B$20+'Supuestos Generales'!$B$27*'Supuestos Generales'!$B$19*'Supuestos Generales'!$B$20*Onboarding!AO22)*'Supuestos Generales'!$B$107</f>
        <v/>
      </c>
      <c r="AP19" s="754">
        <f>SUM(OFFSET(Onboarding!$B6,0,MAX(0,COLUMN(AP3)-COLUMN($B$3)-'Supuestos Generales'!$B$111+1),1,MIN(COLUMN(AP3)-COLUMN($B$3)+1,'Supuestos Generales'!$B$111)))*'Supuestos Generales'!$B$96*('Supuestos Generales'!$B$26*'Supuestos Generales'!$B$19*'Supuestos Generales'!$B$20+'Supuestos Generales'!$B$27*'Supuestos Generales'!$B$19*'Supuestos Generales'!$B$20*Onboarding!AP22)*'Supuestos Generales'!$B$107</f>
        <v/>
      </c>
      <c r="AQ19" s="754">
        <f>SUM(OFFSET(Onboarding!$B6,0,MAX(0,COLUMN(AQ3)-COLUMN($B$3)-'Supuestos Generales'!$B$111+1),1,MIN(COLUMN(AQ3)-COLUMN($B$3)+1,'Supuestos Generales'!$B$111)))*'Supuestos Generales'!$B$96*('Supuestos Generales'!$B$26*'Supuestos Generales'!$B$19*'Supuestos Generales'!$B$20+'Supuestos Generales'!$B$27*'Supuestos Generales'!$B$19*'Supuestos Generales'!$B$20*Onboarding!AQ22)*'Supuestos Generales'!$B$107</f>
        <v/>
      </c>
      <c r="AR19" s="754">
        <f>SUM(OFFSET(Onboarding!$B6,0,MAX(0,COLUMN(AR3)-COLUMN($B$3)-'Supuestos Generales'!$B$111+1),1,MIN(COLUMN(AR3)-COLUMN($B$3)+1,'Supuestos Generales'!$B$111)))*'Supuestos Generales'!$B$96*('Supuestos Generales'!$B$26*'Supuestos Generales'!$B$19*'Supuestos Generales'!$B$20+'Supuestos Generales'!$B$27*'Supuestos Generales'!$B$19*'Supuestos Generales'!$B$20*Onboarding!AR22)*'Supuestos Generales'!$B$107</f>
        <v/>
      </c>
      <c r="AS19" s="754">
        <f>SUM(OFFSET(Onboarding!$B6,0,MAX(0,COLUMN(AS3)-COLUMN($B$3)-'Supuestos Generales'!$B$111+1),1,MIN(COLUMN(AS3)-COLUMN($B$3)+1,'Supuestos Generales'!$B$111)))*'Supuestos Generales'!$B$96*('Supuestos Generales'!$B$26*'Supuestos Generales'!$B$19*'Supuestos Generales'!$B$20+'Supuestos Generales'!$B$27*'Supuestos Generales'!$B$19*'Supuestos Generales'!$B$20*Onboarding!AS22)*'Supuestos Generales'!$B$107</f>
        <v/>
      </c>
      <c r="AT19" s="754">
        <f>SUM(OFFSET(Onboarding!$B6,0,MAX(0,COLUMN(AT3)-COLUMN($B$3)-'Supuestos Generales'!$B$111+1),1,MIN(COLUMN(AT3)-COLUMN($B$3)+1,'Supuestos Generales'!$B$111)))*'Supuestos Generales'!$B$96*('Supuestos Generales'!$B$26*'Supuestos Generales'!$B$19*'Supuestos Generales'!$B$20+'Supuestos Generales'!$B$27*'Supuestos Generales'!$B$19*'Supuestos Generales'!$B$20*Onboarding!AT22)*'Supuestos Generales'!$B$107</f>
        <v/>
      </c>
      <c r="AU19" s="754">
        <f>SUM(OFFSET(Onboarding!$B6,0,MAX(0,COLUMN(AU3)-COLUMN($B$3)-'Supuestos Generales'!$B$111+1),1,MIN(COLUMN(AU3)-COLUMN($B$3)+1,'Supuestos Generales'!$B$111)))*'Supuestos Generales'!$B$96*('Supuestos Generales'!$B$26*'Supuestos Generales'!$B$19*'Supuestos Generales'!$B$20+'Supuestos Generales'!$B$27*'Supuestos Generales'!$B$19*'Supuestos Generales'!$B$20*Onboarding!AU22)*'Supuestos Generales'!$B$107</f>
        <v/>
      </c>
      <c r="AV19" s="754">
        <f>SUM(OFFSET(Onboarding!$B6,0,MAX(0,COLUMN(AV3)-COLUMN($B$3)-'Supuestos Generales'!$B$111+1),1,MIN(COLUMN(AV3)-COLUMN($B$3)+1,'Supuestos Generales'!$B$111)))*'Supuestos Generales'!$B$96*('Supuestos Generales'!$B$26*'Supuestos Generales'!$B$19*'Supuestos Generales'!$B$20+'Supuestos Generales'!$B$27*'Supuestos Generales'!$B$19*'Supuestos Generales'!$B$20*Onboarding!AV22)*'Supuestos Generales'!$B$107</f>
        <v/>
      </c>
      <c r="AW19" s="754">
        <f>SUM(OFFSET(Onboarding!$B6,0,MAX(0,COLUMN(AW3)-COLUMN($B$3)-'Supuestos Generales'!$B$111+1),1,MIN(COLUMN(AW3)-COLUMN($B$3)+1,'Supuestos Generales'!$B$111)))*'Supuestos Generales'!$B$96*('Supuestos Generales'!$B$26*'Supuestos Generales'!$B$19*'Supuestos Generales'!$B$20+'Supuestos Generales'!$B$27*'Supuestos Generales'!$B$19*'Supuestos Generales'!$B$20*Onboarding!AW22)*'Supuestos Generales'!$B$107</f>
        <v/>
      </c>
      <c r="AX19" s="754">
        <f>SUM(OFFSET(Onboarding!$B6,0,MAX(0,COLUMN(AX3)-COLUMN($B$3)-'Supuestos Generales'!$B$111+1),1,MIN(COLUMN(AX3)-COLUMN($B$3)+1,'Supuestos Generales'!$B$111)))*'Supuestos Generales'!$B$96*('Supuestos Generales'!$B$26*'Supuestos Generales'!$B$19*'Supuestos Generales'!$B$20+'Supuestos Generales'!$B$27*'Supuestos Generales'!$B$19*'Supuestos Generales'!$B$20*Onboarding!AX22)*'Supuestos Generales'!$B$107</f>
        <v/>
      </c>
      <c r="AY19" s="754">
        <f>SUM(OFFSET(Onboarding!$B6,0,MAX(0,COLUMN(AY3)-COLUMN($B$3)-'Supuestos Generales'!$B$111+1),1,MIN(COLUMN(AY3)-COLUMN($B$3)+1,'Supuestos Generales'!$B$111)))*'Supuestos Generales'!$B$96*('Supuestos Generales'!$B$26*'Supuestos Generales'!$B$19*'Supuestos Generales'!$B$20+'Supuestos Generales'!$B$27*'Supuestos Generales'!$B$19*'Supuestos Generales'!$B$20*Onboarding!AY22)*'Supuestos Generales'!$B$107</f>
        <v/>
      </c>
      <c r="AZ19" s="754">
        <f>SUM(OFFSET(Onboarding!$B6,0,MAX(0,COLUMN(AZ3)-COLUMN($B$3)-'Supuestos Generales'!$B$111+1),1,MIN(COLUMN(AZ3)-COLUMN($B$3)+1,'Supuestos Generales'!$B$111)))*'Supuestos Generales'!$B$96*('Supuestos Generales'!$B$26*'Supuestos Generales'!$B$19*'Supuestos Generales'!$B$20+'Supuestos Generales'!$B$27*'Supuestos Generales'!$B$19*'Supuestos Generales'!$B$20*Onboarding!AZ22)*'Supuestos Generales'!$B$107</f>
        <v/>
      </c>
      <c r="BA19" s="754">
        <f>SUM(OFFSET(Onboarding!$B6,0,MAX(0,COLUMN(BA3)-COLUMN($B$3)-'Supuestos Generales'!$B$111+1),1,MIN(COLUMN(BA3)-COLUMN($B$3)+1,'Supuestos Generales'!$B$111)))*'Supuestos Generales'!$B$96*('Supuestos Generales'!$B$26*'Supuestos Generales'!$B$19*'Supuestos Generales'!$B$20+'Supuestos Generales'!$B$27*'Supuestos Generales'!$B$19*'Supuestos Generales'!$B$20*Onboarding!BA22)*'Supuestos Generales'!$B$107</f>
        <v/>
      </c>
      <c r="BB19" s="754">
        <f>SUM(OFFSET(Onboarding!$B6,0,MAX(0,COLUMN(BB3)-COLUMN($B$3)-'Supuestos Generales'!$B$111+1),1,MIN(COLUMN(BB3)-COLUMN($B$3)+1,'Supuestos Generales'!$B$111)))*'Supuestos Generales'!$B$96*('Supuestos Generales'!$B$26*'Supuestos Generales'!$B$19*'Supuestos Generales'!$B$20+'Supuestos Generales'!$B$27*'Supuestos Generales'!$B$19*'Supuestos Generales'!$B$20*Onboarding!BB22)*'Supuestos Generales'!$B$107</f>
        <v/>
      </c>
      <c r="BC19" s="754">
        <f>SUM(OFFSET(Onboarding!$B6,0,MAX(0,COLUMN(BC3)-COLUMN($B$3)-'Supuestos Generales'!$B$111+1),1,MIN(COLUMN(BC3)-COLUMN($B$3)+1,'Supuestos Generales'!$B$111)))*'Supuestos Generales'!$B$96*('Supuestos Generales'!$B$26*'Supuestos Generales'!$B$19*'Supuestos Generales'!$B$20+'Supuestos Generales'!$B$27*'Supuestos Generales'!$B$19*'Supuestos Generales'!$B$20*Onboarding!BC22)*'Supuestos Generales'!$B$107</f>
        <v/>
      </c>
      <c r="BD19" s="754">
        <f>SUM(OFFSET(Onboarding!$B6,0,MAX(0,COLUMN(BD3)-COLUMN($B$3)-'Supuestos Generales'!$B$111+1),1,MIN(COLUMN(BD3)-COLUMN($B$3)+1,'Supuestos Generales'!$B$111)))*'Supuestos Generales'!$B$96*('Supuestos Generales'!$B$26*'Supuestos Generales'!$B$19*'Supuestos Generales'!$B$20+'Supuestos Generales'!$B$27*'Supuestos Generales'!$B$19*'Supuestos Generales'!$B$20*Onboarding!BD22)*'Supuestos Generales'!$B$107</f>
        <v/>
      </c>
      <c r="BE19" s="754">
        <f>SUM(OFFSET(Onboarding!$B6,0,MAX(0,COLUMN(BE3)-COLUMN($B$3)-'Supuestos Generales'!$B$111+1),1,MIN(COLUMN(BE3)-COLUMN($B$3)+1,'Supuestos Generales'!$B$111)))*'Supuestos Generales'!$B$96*('Supuestos Generales'!$B$26*'Supuestos Generales'!$B$19*'Supuestos Generales'!$B$20+'Supuestos Generales'!$B$27*'Supuestos Generales'!$B$19*'Supuestos Generales'!$B$20*Onboarding!BE22)*'Supuestos Generales'!$B$107</f>
        <v/>
      </c>
      <c r="BF19" s="754">
        <f>SUM(OFFSET(Onboarding!$B6,0,MAX(0,COLUMN(BF3)-COLUMN($B$3)-'Supuestos Generales'!$B$111+1),1,MIN(COLUMN(BF3)-COLUMN($B$3)+1,'Supuestos Generales'!$B$111)))*'Supuestos Generales'!$B$96*('Supuestos Generales'!$B$26*'Supuestos Generales'!$B$19*'Supuestos Generales'!$B$20+'Supuestos Generales'!$B$27*'Supuestos Generales'!$B$19*'Supuestos Generales'!$B$20*Onboarding!BF22)*'Supuestos Generales'!$B$107</f>
        <v/>
      </c>
      <c r="BG19" s="754">
        <f>SUM(OFFSET(Onboarding!$B6,0,MAX(0,COLUMN(BG3)-COLUMN($B$3)-'Supuestos Generales'!$B$111+1),1,MIN(COLUMN(BG3)-COLUMN($B$3)+1,'Supuestos Generales'!$B$111)))*'Supuestos Generales'!$B$96*('Supuestos Generales'!$B$26*'Supuestos Generales'!$B$19*'Supuestos Generales'!$B$20+'Supuestos Generales'!$B$27*'Supuestos Generales'!$B$19*'Supuestos Generales'!$B$20*Onboarding!BG22)*'Supuestos Generales'!$B$107</f>
        <v/>
      </c>
      <c r="BH19" s="754">
        <f>SUM(OFFSET(Onboarding!$B6,0,MAX(0,COLUMN(BH3)-COLUMN($B$3)-'Supuestos Generales'!$B$111+1),1,MIN(COLUMN(BH3)-COLUMN($B$3)+1,'Supuestos Generales'!$B$111)))*'Supuestos Generales'!$B$96*('Supuestos Generales'!$B$26*'Supuestos Generales'!$B$19*'Supuestos Generales'!$B$20+'Supuestos Generales'!$B$27*'Supuestos Generales'!$B$19*'Supuestos Generales'!$B$20*Onboarding!BH22)*'Supuestos Generales'!$B$107</f>
        <v/>
      </c>
      <c r="BI19" s="754">
        <f>SUM(OFFSET(Onboarding!$B6,0,MAX(0,COLUMN(BI3)-COLUMN($B$3)-'Supuestos Generales'!$B$111+1),1,MIN(COLUMN(BI3)-COLUMN($B$3)+1,'Supuestos Generales'!$B$111)))*'Supuestos Generales'!$B$96*('Supuestos Generales'!$B$26*'Supuestos Generales'!$B$19*'Supuestos Generales'!$B$20+'Supuestos Generales'!$B$27*'Supuestos Generales'!$B$19*'Supuestos Generales'!$B$20*Onboarding!BI22)*'Supuestos Generales'!$B$107</f>
        <v/>
      </c>
      <c r="BJ19" s="757">
        <f>SUM(B19:BI19)</f>
        <v/>
      </c>
    </row>
    <row r="20">
      <c r="A20" s="35" t="inlineStr">
        <is>
          <t>Comisiones Fees 1er año - Vend. externos</t>
        </is>
      </c>
      <c r="B20" s="754">
        <f>SUM(OFFSET(Onboarding!$B6,0,MAX(0,COLUMN(B3)-COLUMN($B$3)-'Supuestos Generales'!$B$111+1),1,MIN(COLUMN(B3)-COLUMN($B$3)+1,'Supuestos Generales'!$B$111)))*'Supuestos Generales'!$B$97*('Supuestos Generales'!$B$26*'Supuestos Generales'!$B$19*'Supuestos Generales'!$B$20+'Supuestos Generales'!$B$27*'Supuestos Generales'!$B$19*'Supuestos Generales'!$B$20*Onboarding!B22)*'Supuestos Generales'!$B$108</f>
        <v/>
      </c>
      <c r="C20" s="754">
        <f>SUM(OFFSET(Onboarding!$B6,0,MAX(0,COLUMN(C3)-COLUMN($B$3)-'Supuestos Generales'!$B$111+1),1,MIN(COLUMN(C3)-COLUMN($B$3)+1,'Supuestos Generales'!$B$111)))*'Supuestos Generales'!$B$97*('Supuestos Generales'!$B$26*'Supuestos Generales'!$B$19*'Supuestos Generales'!$B$20+'Supuestos Generales'!$B$27*'Supuestos Generales'!$B$19*'Supuestos Generales'!$B$20*Onboarding!C22)*'Supuestos Generales'!$B$108</f>
        <v/>
      </c>
      <c r="D20" s="754">
        <f>SUM(OFFSET(Onboarding!$B6,0,MAX(0,COLUMN(D3)-COLUMN($B$3)-'Supuestos Generales'!$B$111+1),1,MIN(COLUMN(D3)-COLUMN($B$3)+1,'Supuestos Generales'!$B$111)))*'Supuestos Generales'!$B$97*('Supuestos Generales'!$B$26*'Supuestos Generales'!$B$19*'Supuestos Generales'!$B$20+'Supuestos Generales'!$B$27*'Supuestos Generales'!$B$19*'Supuestos Generales'!$B$20*Onboarding!D22)*'Supuestos Generales'!$B$108</f>
        <v/>
      </c>
      <c r="E20" s="754">
        <f>SUM(OFFSET(Onboarding!$B6,0,MAX(0,COLUMN(E3)-COLUMN($B$3)-'Supuestos Generales'!$B$111+1),1,MIN(COLUMN(E3)-COLUMN($B$3)+1,'Supuestos Generales'!$B$111)))*'Supuestos Generales'!$B$97*('Supuestos Generales'!$B$26*'Supuestos Generales'!$B$19*'Supuestos Generales'!$B$20+'Supuestos Generales'!$B$27*'Supuestos Generales'!$B$19*'Supuestos Generales'!$B$20*Onboarding!E22)*'Supuestos Generales'!$B$108</f>
        <v/>
      </c>
      <c r="F20" s="754">
        <f>SUM(OFFSET(Onboarding!$B6,0,MAX(0,COLUMN(F3)-COLUMN($B$3)-'Supuestos Generales'!$B$111+1),1,MIN(COLUMN(F3)-COLUMN($B$3)+1,'Supuestos Generales'!$B$111)))*'Supuestos Generales'!$B$97*('Supuestos Generales'!$B$26*'Supuestos Generales'!$B$19*'Supuestos Generales'!$B$20+'Supuestos Generales'!$B$27*'Supuestos Generales'!$B$19*'Supuestos Generales'!$B$20*Onboarding!F22)*'Supuestos Generales'!$B$108</f>
        <v/>
      </c>
      <c r="G20" s="754">
        <f>SUM(OFFSET(Onboarding!$B6,0,MAX(0,COLUMN(G3)-COLUMN($B$3)-'Supuestos Generales'!$B$111+1),1,MIN(COLUMN(G3)-COLUMN($B$3)+1,'Supuestos Generales'!$B$111)))*'Supuestos Generales'!$B$97*('Supuestos Generales'!$B$26*'Supuestos Generales'!$B$19*'Supuestos Generales'!$B$20+'Supuestos Generales'!$B$27*'Supuestos Generales'!$B$19*'Supuestos Generales'!$B$20*Onboarding!G22)*'Supuestos Generales'!$B$108</f>
        <v/>
      </c>
      <c r="H20" s="754">
        <f>SUM(OFFSET(Onboarding!$B6,0,MAX(0,COLUMN(H3)-COLUMN($B$3)-'Supuestos Generales'!$B$111+1),1,MIN(COLUMN(H3)-COLUMN($B$3)+1,'Supuestos Generales'!$B$111)))*'Supuestos Generales'!$B$97*('Supuestos Generales'!$B$26*'Supuestos Generales'!$B$19*'Supuestos Generales'!$B$20+'Supuestos Generales'!$B$27*'Supuestos Generales'!$B$19*'Supuestos Generales'!$B$20*Onboarding!H22)*'Supuestos Generales'!$B$108</f>
        <v/>
      </c>
      <c r="I20" s="754">
        <f>SUM(OFFSET(Onboarding!$B6,0,MAX(0,COLUMN(I3)-COLUMN($B$3)-'Supuestos Generales'!$B$111+1),1,MIN(COLUMN(I3)-COLUMN($B$3)+1,'Supuestos Generales'!$B$111)))*'Supuestos Generales'!$B$97*('Supuestos Generales'!$B$26*'Supuestos Generales'!$B$19*'Supuestos Generales'!$B$20+'Supuestos Generales'!$B$27*'Supuestos Generales'!$B$19*'Supuestos Generales'!$B$20*Onboarding!I22)*'Supuestos Generales'!$B$108</f>
        <v/>
      </c>
      <c r="J20" s="754">
        <f>SUM(OFFSET(Onboarding!$B6,0,MAX(0,COLUMN(J3)-COLUMN($B$3)-'Supuestos Generales'!$B$111+1),1,MIN(COLUMN(J3)-COLUMN($B$3)+1,'Supuestos Generales'!$B$111)))*'Supuestos Generales'!$B$97*('Supuestos Generales'!$B$26*'Supuestos Generales'!$B$19*'Supuestos Generales'!$B$20+'Supuestos Generales'!$B$27*'Supuestos Generales'!$B$19*'Supuestos Generales'!$B$20*Onboarding!J22)*'Supuestos Generales'!$B$108</f>
        <v/>
      </c>
      <c r="K20" s="754">
        <f>SUM(OFFSET(Onboarding!$B6,0,MAX(0,COLUMN(K3)-COLUMN($B$3)-'Supuestos Generales'!$B$111+1),1,MIN(COLUMN(K3)-COLUMN($B$3)+1,'Supuestos Generales'!$B$111)))*'Supuestos Generales'!$B$97*('Supuestos Generales'!$B$26*'Supuestos Generales'!$B$19*'Supuestos Generales'!$B$20+'Supuestos Generales'!$B$27*'Supuestos Generales'!$B$19*'Supuestos Generales'!$B$20*Onboarding!K22)*'Supuestos Generales'!$B$108</f>
        <v/>
      </c>
      <c r="L20" s="754">
        <f>SUM(OFFSET(Onboarding!$B6,0,MAX(0,COLUMN(L3)-COLUMN($B$3)-'Supuestos Generales'!$B$111+1),1,MIN(COLUMN(L3)-COLUMN($B$3)+1,'Supuestos Generales'!$B$111)))*'Supuestos Generales'!$B$97*('Supuestos Generales'!$B$26*'Supuestos Generales'!$B$19*'Supuestos Generales'!$B$20+'Supuestos Generales'!$B$27*'Supuestos Generales'!$B$19*'Supuestos Generales'!$B$20*Onboarding!L22)*'Supuestos Generales'!$B$108</f>
        <v/>
      </c>
      <c r="M20" s="754">
        <f>SUM(OFFSET(Onboarding!$B6,0,MAX(0,COLUMN(M3)-COLUMN($B$3)-'Supuestos Generales'!$B$111+1),1,MIN(COLUMN(M3)-COLUMN($B$3)+1,'Supuestos Generales'!$B$111)))*'Supuestos Generales'!$B$97*('Supuestos Generales'!$B$26*'Supuestos Generales'!$B$19*'Supuestos Generales'!$B$20+'Supuestos Generales'!$B$27*'Supuestos Generales'!$B$19*'Supuestos Generales'!$B$20*Onboarding!M22)*'Supuestos Generales'!$B$108</f>
        <v/>
      </c>
      <c r="N20" s="754">
        <f>SUM(OFFSET(Onboarding!$B6,0,MAX(0,COLUMN(N3)-COLUMN($B$3)-'Supuestos Generales'!$B$111+1),1,MIN(COLUMN(N3)-COLUMN($B$3)+1,'Supuestos Generales'!$B$111)))*'Supuestos Generales'!$B$97*('Supuestos Generales'!$B$26*'Supuestos Generales'!$B$19*'Supuestos Generales'!$B$20+'Supuestos Generales'!$B$27*'Supuestos Generales'!$B$19*'Supuestos Generales'!$B$20*Onboarding!N22)*'Supuestos Generales'!$B$108</f>
        <v/>
      </c>
      <c r="O20" s="754">
        <f>SUM(OFFSET(Onboarding!$B6,0,MAX(0,COLUMN(O3)-COLUMN($B$3)-'Supuestos Generales'!$B$111+1),1,MIN(COLUMN(O3)-COLUMN($B$3)+1,'Supuestos Generales'!$B$111)))*'Supuestos Generales'!$B$97*('Supuestos Generales'!$B$26*'Supuestos Generales'!$B$19*'Supuestos Generales'!$B$20+'Supuestos Generales'!$B$27*'Supuestos Generales'!$B$19*'Supuestos Generales'!$B$20*Onboarding!O22)*'Supuestos Generales'!$B$108</f>
        <v/>
      </c>
      <c r="P20" s="754">
        <f>SUM(OFFSET(Onboarding!$B6,0,MAX(0,COLUMN(P3)-COLUMN($B$3)-'Supuestos Generales'!$B$111+1),1,MIN(COLUMN(P3)-COLUMN($B$3)+1,'Supuestos Generales'!$B$111)))*'Supuestos Generales'!$B$97*('Supuestos Generales'!$B$26*'Supuestos Generales'!$B$19*'Supuestos Generales'!$B$20+'Supuestos Generales'!$B$27*'Supuestos Generales'!$B$19*'Supuestos Generales'!$B$20*Onboarding!P22)*'Supuestos Generales'!$B$108</f>
        <v/>
      </c>
      <c r="Q20" s="754">
        <f>SUM(OFFSET(Onboarding!$B6,0,MAX(0,COLUMN(Q3)-COLUMN($B$3)-'Supuestos Generales'!$B$111+1),1,MIN(COLUMN(Q3)-COLUMN($B$3)+1,'Supuestos Generales'!$B$111)))*'Supuestos Generales'!$B$97*('Supuestos Generales'!$B$26*'Supuestos Generales'!$B$19*'Supuestos Generales'!$B$20+'Supuestos Generales'!$B$27*'Supuestos Generales'!$B$19*'Supuestos Generales'!$B$20*Onboarding!Q22)*'Supuestos Generales'!$B$108</f>
        <v/>
      </c>
      <c r="R20" s="754">
        <f>SUM(OFFSET(Onboarding!$B6,0,MAX(0,COLUMN(R3)-COLUMN($B$3)-'Supuestos Generales'!$B$111+1),1,MIN(COLUMN(R3)-COLUMN($B$3)+1,'Supuestos Generales'!$B$111)))*'Supuestos Generales'!$B$97*('Supuestos Generales'!$B$26*'Supuestos Generales'!$B$19*'Supuestos Generales'!$B$20+'Supuestos Generales'!$B$27*'Supuestos Generales'!$B$19*'Supuestos Generales'!$B$20*Onboarding!R22)*'Supuestos Generales'!$B$108</f>
        <v/>
      </c>
      <c r="S20" s="754">
        <f>SUM(OFFSET(Onboarding!$B6,0,MAX(0,COLUMN(S3)-COLUMN($B$3)-'Supuestos Generales'!$B$111+1),1,MIN(COLUMN(S3)-COLUMN($B$3)+1,'Supuestos Generales'!$B$111)))*'Supuestos Generales'!$B$97*('Supuestos Generales'!$B$26*'Supuestos Generales'!$B$19*'Supuestos Generales'!$B$20+'Supuestos Generales'!$B$27*'Supuestos Generales'!$B$19*'Supuestos Generales'!$B$20*Onboarding!S22)*'Supuestos Generales'!$B$108</f>
        <v/>
      </c>
      <c r="T20" s="754">
        <f>SUM(OFFSET(Onboarding!$B6,0,MAX(0,COLUMN(T3)-COLUMN($B$3)-'Supuestos Generales'!$B$111+1),1,MIN(COLUMN(T3)-COLUMN($B$3)+1,'Supuestos Generales'!$B$111)))*'Supuestos Generales'!$B$97*('Supuestos Generales'!$B$26*'Supuestos Generales'!$B$19*'Supuestos Generales'!$B$20+'Supuestos Generales'!$B$27*'Supuestos Generales'!$B$19*'Supuestos Generales'!$B$20*Onboarding!T22)*'Supuestos Generales'!$B$108</f>
        <v/>
      </c>
      <c r="U20" s="754">
        <f>SUM(OFFSET(Onboarding!$B6,0,MAX(0,COLUMN(U3)-COLUMN($B$3)-'Supuestos Generales'!$B$111+1),1,MIN(COLUMN(U3)-COLUMN($B$3)+1,'Supuestos Generales'!$B$111)))*'Supuestos Generales'!$B$97*('Supuestos Generales'!$B$26*'Supuestos Generales'!$B$19*'Supuestos Generales'!$B$20+'Supuestos Generales'!$B$27*'Supuestos Generales'!$B$19*'Supuestos Generales'!$B$20*Onboarding!U22)*'Supuestos Generales'!$B$108</f>
        <v/>
      </c>
      <c r="V20" s="754">
        <f>SUM(OFFSET(Onboarding!$B6,0,MAX(0,COLUMN(V3)-COLUMN($B$3)-'Supuestos Generales'!$B$111+1),1,MIN(COLUMN(V3)-COLUMN($B$3)+1,'Supuestos Generales'!$B$111)))*'Supuestos Generales'!$B$97*('Supuestos Generales'!$B$26*'Supuestos Generales'!$B$19*'Supuestos Generales'!$B$20+'Supuestos Generales'!$B$27*'Supuestos Generales'!$B$19*'Supuestos Generales'!$B$20*Onboarding!V22)*'Supuestos Generales'!$B$108</f>
        <v/>
      </c>
      <c r="W20" s="754">
        <f>SUM(OFFSET(Onboarding!$B6,0,MAX(0,COLUMN(W3)-COLUMN($B$3)-'Supuestos Generales'!$B$111+1),1,MIN(COLUMN(W3)-COLUMN($B$3)+1,'Supuestos Generales'!$B$111)))*'Supuestos Generales'!$B$97*('Supuestos Generales'!$B$26*'Supuestos Generales'!$B$19*'Supuestos Generales'!$B$20+'Supuestos Generales'!$B$27*'Supuestos Generales'!$B$19*'Supuestos Generales'!$B$20*Onboarding!W22)*'Supuestos Generales'!$B$108</f>
        <v/>
      </c>
      <c r="X20" s="754">
        <f>SUM(OFFSET(Onboarding!$B6,0,MAX(0,COLUMN(X3)-COLUMN($B$3)-'Supuestos Generales'!$B$111+1),1,MIN(COLUMN(X3)-COLUMN($B$3)+1,'Supuestos Generales'!$B$111)))*'Supuestos Generales'!$B$97*('Supuestos Generales'!$B$26*'Supuestos Generales'!$B$19*'Supuestos Generales'!$B$20+'Supuestos Generales'!$B$27*'Supuestos Generales'!$B$19*'Supuestos Generales'!$B$20*Onboarding!X22)*'Supuestos Generales'!$B$108</f>
        <v/>
      </c>
      <c r="Y20" s="754">
        <f>SUM(OFFSET(Onboarding!$B6,0,MAX(0,COLUMN(Y3)-COLUMN($B$3)-'Supuestos Generales'!$B$111+1),1,MIN(COLUMN(Y3)-COLUMN($B$3)+1,'Supuestos Generales'!$B$111)))*'Supuestos Generales'!$B$97*('Supuestos Generales'!$B$26*'Supuestos Generales'!$B$19*'Supuestos Generales'!$B$20+'Supuestos Generales'!$B$27*'Supuestos Generales'!$B$19*'Supuestos Generales'!$B$20*Onboarding!Y22)*'Supuestos Generales'!$B$108</f>
        <v/>
      </c>
      <c r="Z20" s="754">
        <f>SUM(OFFSET(Onboarding!$B6,0,MAX(0,COLUMN(Z3)-COLUMN($B$3)-'Supuestos Generales'!$B$111+1),1,MIN(COLUMN(Z3)-COLUMN($B$3)+1,'Supuestos Generales'!$B$111)))*'Supuestos Generales'!$B$97*('Supuestos Generales'!$B$26*'Supuestos Generales'!$B$19*'Supuestos Generales'!$B$20+'Supuestos Generales'!$B$27*'Supuestos Generales'!$B$19*'Supuestos Generales'!$B$20*Onboarding!Z22)*'Supuestos Generales'!$B$108</f>
        <v/>
      </c>
      <c r="AA20" s="754">
        <f>SUM(OFFSET(Onboarding!$B6,0,MAX(0,COLUMN(AA3)-COLUMN($B$3)-'Supuestos Generales'!$B$111+1),1,MIN(COLUMN(AA3)-COLUMN($B$3)+1,'Supuestos Generales'!$B$111)))*'Supuestos Generales'!$B$97*('Supuestos Generales'!$B$26*'Supuestos Generales'!$B$19*'Supuestos Generales'!$B$20+'Supuestos Generales'!$B$27*'Supuestos Generales'!$B$19*'Supuestos Generales'!$B$20*Onboarding!AA22)*'Supuestos Generales'!$B$108</f>
        <v/>
      </c>
      <c r="AB20" s="754">
        <f>SUM(OFFSET(Onboarding!$B6,0,MAX(0,COLUMN(AB3)-COLUMN($B$3)-'Supuestos Generales'!$B$111+1),1,MIN(COLUMN(AB3)-COLUMN($B$3)+1,'Supuestos Generales'!$B$111)))*'Supuestos Generales'!$B$97*('Supuestos Generales'!$B$26*'Supuestos Generales'!$B$19*'Supuestos Generales'!$B$20+'Supuestos Generales'!$B$27*'Supuestos Generales'!$B$19*'Supuestos Generales'!$B$20*Onboarding!AB22)*'Supuestos Generales'!$B$108</f>
        <v/>
      </c>
      <c r="AC20" s="754">
        <f>SUM(OFFSET(Onboarding!$B6,0,MAX(0,COLUMN(AC3)-COLUMN($B$3)-'Supuestos Generales'!$B$111+1),1,MIN(COLUMN(AC3)-COLUMN($B$3)+1,'Supuestos Generales'!$B$111)))*'Supuestos Generales'!$B$97*('Supuestos Generales'!$B$26*'Supuestos Generales'!$B$19*'Supuestos Generales'!$B$20+'Supuestos Generales'!$B$27*'Supuestos Generales'!$B$19*'Supuestos Generales'!$B$20*Onboarding!AC22)*'Supuestos Generales'!$B$108</f>
        <v/>
      </c>
      <c r="AD20" s="754">
        <f>SUM(OFFSET(Onboarding!$B6,0,MAX(0,COLUMN(AD3)-COLUMN($B$3)-'Supuestos Generales'!$B$111+1),1,MIN(COLUMN(AD3)-COLUMN($B$3)+1,'Supuestos Generales'!$B$111)))*'Supuestos Generales'!$B$97*('Supuestos Generales'!$B$26*'Supuestos Generales'!$B$19*'Supuestos Generales'!$B$20+'Supuestos Generales'!$B$27*'Supuestos Generales'!$B$19*'Supuestos Generales'!$B$20*Onboarding!AD22)*'Supuestos Generales'!$B$108</f>
        <v/>
      </c>
      <c r="AE20" s="754">
        <f>SUM(OFFSET(Onboarding!$B6,0,MAX(0,COLUMN(AE3)-COLUMN($B$3)-'Supuestos Generales'!$B$111+1),1,MIN(COLUMN(AE3)-COLUMN($B$3)+1,'Supuestos Generales'!$B$111)))*'Supuestos Generales'!$B$97*('Supuestos Generales'!$B$26*'Supuestos Generales'!$B$19*'Supuestos Generales'!$B$20+'Supuestos Generales'!$B$27*'Supuestos Generales'!$B$19*'Supuestos Generales'!$B$20*Onboarding!AE22)*'Supuestos Generales'!$B$108</f>
        <v/>
      </c>
      <c r="AF20" s="754">
        <f>SUM(OFFSET(Onboarding!$B6,0,MAX(0,COLUMN(AF3)-COLUMN($B$3)-'Supuestos Generales'!$B$111+1),1,MIN(COLUMN(AF3)-COLUMN($B$3)+1,'Supuestos Generales'!$B$111)))*'Supuestos Generales'!$B$97*('Supuestos Generales'!$B$26*'Supuestos Generales'!$B$19*'Supuestos Generales'!$B$20+'Supuestos Generales'!$B$27*'Supuestos Generales'!$B$19*'Supuestos Generales'!$B$20*Onboarding!AF22)*'Supuestos Generales'!$B$108</f>
        <v/>
      </c>
      <c r="AG20" s="754">
        <f>SUM(OFFSET(Onboarding!$B6,0,MAX(0,COLUMN(AG3)-COLUMN($B$3)-'Supuestos Generales'!$B$111+1),1,MIN(COLUMN(AG3)-COLUMN($B$3)+1,'Supuestos Generales'!$B$111)))*'Supuestos Generales'!$B$97*('Supuestos Generales'!$B$26*'Supuestos Generales'!$B$19*'Supuestos Generales'!$B$20+'Supuestos Generales'!$B$27*'Supuestos Generales'!$B$19*'Supuestos Generales'!$B$20*Onboarding!AG22)*'Supuestos Generales'!$B$108</f>
        <v/>
      </c>
      <c r="AH20" s="754">
        <f>SUM(OFFSET(Onboarding!$B6,0,MAX(0,COLUMN(AH3)-COLUMN($B$3)-'Supuestos Generales'!$B$111+1),1,MIN(COLUMN(AH3)-COLUMN($B$3)+1,'Supuestos Generales'!$B$111)))*'Supuestos Generales'!$B$97*('Supuestos Generales'!$B$26*'Supuestos Generales'!$B$19*'Supuestos Generales'!$B$20+'Supuestos Generales'!$B$27*'Supuestos Generales'!$B$19*'Supuestos Generales'!$B$20*Onboarding!AH22)*'Supuestos Generales'!$B$108</f>
        <v/>
      </c>
      <c r="AI20" s="754">
        <f>SUM(OFFSET(Onboarding!$B6,0,MAX(0,COLUMN(AI3)-COLUMN($B$3)-'Supuestos Generales'!$B$111+1),1,MIN(COLUMN(AI3)-COLUMN($B$3)+1,'Supuestos Generales'!$B$111)))*'Supuestos Generales'!$B$97*('Supuestos Generales'!$B$26*'Supuestos Generales'!$B$19*'Supuestos Generales'!$B$20+'Supuestos Generales'!$B$27*'Supuestos Generales'!$B$19*'Supuestos Generales'!$B$20*Onboarding!AI22)*'Supuestos Generales'!$B$108</f>
        <v/>
      </c>
      <c r="AJ20" s="754">
        <f>SUM(OFFSET(Onboarding!$B6,0,MAX(0,COLUMN(AJ3)-COLUMN($B$3)-'Supuestos Generales'!$B$111+1),1,MIN(COLUMN(AJ3)-COLUMN($B$3)+1,'Supuestos Generales'!$B$111)))*'Supuestos Generales'!$B$97*('Supuestos Generales'!$B$26*'Supuestos Generales'!$B$19*'Supuestos Generales'!$B$20+'Supuestos Generales'!$B$27*'Supuestos Generales'!$B$19*'Supuestos Generales'!$B$20*Onboarding!AJ22)*'Supuestos Generales'!$B$108</f>
        <v/>
      </c>
      <c r="AK20" s="754">
        <f>SUM(OFFSET(Onboarding!$B6,0,MAX(0,COLUMN(AK3)-COLUMN($B$3)-'Supuestos Generales'!$B$111+1),1,MIN(COLUMN(AK3)-COLUMN($B$3)+1,'Supuestos Generales'!$B$111)))*'Supuestos Generales'!$B$97*('Supuestos Generales'!$B$26*'Supuestos Generales'!$B$19*'Supuestos Generales'!$B$20+'Supuestos Generales'!$B$27*'Supuestos Generales'!$B$19*'Supuestos Generales'!$B$20*Onboarding!AK22)*'Supuestos Generales'!$B$108</f>
        <v/>
      </c>
      <c r="AL20" s="754">
        <f>SUM(OFFSET(Onboarding!$B6,0,MAX(0,COLUMN(AL3)-COLUMN($B$3)-'Supuestos Generales'!$B$111+1),1,MIN(COLUMN(AL3)-COLUMN($B$3)+1,'Supuestos Generales'!$B$111)))*'Supuestos Generales'!$B$97*('Supuestos Generales'!$B$26*'Supuestos Generales'!$B$19*'Supuestos Generales'!$B$20+'Supuestos Generales'!$B$27*'Supuestos Generales'!$B$19*'Supuestos Generales'!$B$20*Onboarding!AL22)*'Supuestos Generales'!$B$108</f>
        <v/>
      </c>
      <c r="AM20" s="754">
        <f>SUM(OFFSET(Onboarding!$B6,0,MAX(0,COLUMN(AM3)-COLUMN($B$3)-'Supuestos Generales'!$B$111+1),1,MIN(COLUMN(AM3)-COLUMN($B$3)+1,'Supuestos Generales'!$B$111)))*'Supuestos Generales'!$B$97*('Supuestos Generales'!$B$26*'Supuestos Generales'!$B$19*'Supuestos Generales'!$B$20+'Supuestos Generales'!$B$27*'Supuestos Generales'!$B$19*'Supuestos Generales'!$B$20*Onboarding!AM22)*'Supuestos Generales'!$B$108</f>
        <v/>
      </c>
      <c r="AN20" s="754">
        <f>SUM(OFFSET(Onboarding!$B6,0,MAX(0,COLUMN(AN3)-COLUMN($B$3)-'Supuestos Generales'!$B$111+1),1,MIN(COLUMN(AN3)-COLUMN($B$3)+1,'Supuestos Generales'!$B$111)))*'Supuestos Generales'!$B$97*('Supuestos Generales'!$B$26*'Supuestos Generales'!$B$19*'Supuestos Generales'!$B$20+'Supuestos Generales'!$B$27*'Supuestos Generales'!$B$19*'Supuestos Generales'!$B$20*Onboarding!AN22)*'Supuestos Generales'!$B$108</f>
        <v/>
      </c>
      <c r="AO20" s="754">
        <f>SUM(OFFSET(Onboarding!$B6,0,MAX(0,COLUMN(AO3)-COLUMN($B$3)-'Supuestos Generales'!$B$111+1),1,MIN(COLUMN(AO3)-COLUMN($B$3)+1,'Supuestos Generales'!$B$111)))*'Supuestos Generales'!$B$97*('Supuestos Generales'!$B$26*'Supuestos Generales'!$B$19*'Supuestos Generales'!$B$20+'Supuestos Generales'!$B$27*'Supuestos Generales'!$B$19*'Supuestos Generales'!$B$20*Onboarding!AO22)*'Supuestos Generales'!$B$108</f>
        <v/>
      </c>
      <c r="AP20" s="754">
        <f>SUM(OFFSET(Onboarding!$B6,0,MAX(0,COLUMN(AP3)-COLUMN($B$3)-'Supuestos Generales'!$B$111+1),1,MIN(COLUMN(AP3)-COLUMN($B$3)+1,'Supuestos Generales'!$B$111)))*'Supuestos Generales'!$B$97*('Supuestos Generales'!$B$26*'Supuestos Generales'!$B$19*'Supuestos Generales'!$B$20+'Supuestos Generales'!$B$27*'Supuestos Generales'!$B$19*'Supuestos Generales'!$B$20*Onboarding!AP22)*'Supuestos Generales'!$B$108</f>
        <v/>
      </c>
      <c r="AQ20" s="754">
        <f>SUM(OFFSET(Onboarding!$B6,0,MAX(0,COLUMN(AQ3)-COLUMN($B$3)-'Supuestos Generales'!$B$111+1),1,MIN(COLUMN(AQ3)-COLUMN($B$3)+1,'Supuestos Generales'!$B$111)))*'Supuestos Generales'!$B$97*('Supuestos Generales'!$B$26*'Supuestos Generales'!$B$19*'Supuestos Generales'!$B$20+'Supuestos Generales'!$B$27*'Supuestos Generales'!$B$19*'Supuestos Generales'!$B$20*Onboarding!AQ22)*'Supuestos Generales'!$B$108</f>
        <v/>
      </c>
      <c r="AR20" s="754">
        <f>SUM(OFFSET(Onboarding!$B6,0,MAX(0,COLUMN(AR3)-COLUMN($B$3)-'Supuestos Generales'!$B$111+1),1,MIN(COLUMN(AR3)-COLUMN($B$3)+1,'Supuestos Generales'!$B$111)))*'Supuestos Generales'!$B$97*('Supuestos Generales'!$B$26*'Supuestos Generales'!$B$19*'Supuestos Generales'!$B$20+'Supuestos Generales'!$B$27*'Supuestos Generales'!$B$19*'Supuestos Generales'!$B$20*Onboarding!AR22)*'Supuestos Generales'!$B$108</f>
        <v/>
      </c>
      <c r="AS20" s="754">
        <f>SUM(OFFSET(Onboarding!$B6,0,MAX(0,COLUMN(AS3)-COLUMN($B$3)-'Supuestos Generales'!$B$111+1),1,MIN(COLUMN(AS3)-COLUMN($B$3)+1,'Supuestos Generales'!$B$111)))*'Supuestos Generales'!$B$97*('Supuestos Generales'!$B$26*'Supuestos Generales'!$B$19*'Supuestos Generales'!$B$20+'Supuestos Generales'!$B$27*'Supuestos Generales'!$B$19*'Supuestos Generales'!$B$20*Onboarding!AS22)*'Supuestos Generales'!$B$108</f>
        <v/>
      </c>
      <c r="AT20" s="754">
        <f>SUM(OFFSET(Onboarding!$B6,0,MAX(0,COLUMN(AT3)-COLUMN($B$3)-'Supuestos Generales'!$B$111+1),1,MIN(COLUMN(AT3)-COLUMN($B$3)+1,'Supuestos Generales'!$B$111)))*'Supuestos Generales'!$B$97*('Supuestos Generales'!$B$26*'Supuestos Generales'!$B$19*'Supuestos Generales'!$B$20+'Supuestos Generales'!$B$27*'Supuestos Generales'!$B$19*'Supuestos Generales'!$B$20*Onboarding!AT22)*'Supuestos Generales'!$B$108</f>
        <v/>
      </c>
      <c r="AU20" s="754">
        <f>SUM(OFFSET(Onboarding!$B6,0,MAX(0,COLUMN(AU3)-COLUMN($B$3)-'Supuestos Generales'!$B$111+1),1,MIN(COLUMN(AU3)-COLUMN($B$3)+1,'Supuestos Generales'!$B$111)))*'Supuestos Generales'!$B$97*('Supuestos Generales'!$B$26*'Supuestos Generales'!$B$19*'Supuestos Generales'!$B$20+'Supuestos Generales'!$B$27*'Supuestos Generales'!$B$19*'Supuestos Generales'!$B$20*Onboarding!AU22)*'Supuestos Generales'!$B$108</f>
        <v/>
      </c>
      <c r="AV20" s="754">
        <f>SUM(OFFSET(Onboarding!$B6,0,MAX(0,COLUMN(AV3)-COLUMN($B$3)-'Supuestos Generales'!$B$111+1),1,MIN(COLUMN(AV3)-COLUMN($B$3)+1,'Supuestos Generales'!$B$111)))*'Supuestos Generales'!$B$97*('Supuestos Generales'!$B$26*'Supuestos Generales'!$B$19*'Supuestos Generales'!$B$20+'Supuestos Generales'!$B$27*'Supuestos Generales'!$B$19*'Supuestos Generales'!$B$20*Onboarding!AV22)*'Supuestos Generales'!$B$108</f>
        <v/>
      </c>
      <c r="AW20" s="754">
        <f>SUM(OFFSET(Onboarding!$B6,0,MAX(0,COLUMN(AW3)-COLUMN($B$3)-'Supuestos Generales'!$B$111+1),1,MIN(COLUMN(AW3)-COLUMN($B$3)+1,'Supuestos Generales'!$B$111)))*'Supuestos Generales'!$B$97*('Supuestos Generales'!$B$26*'Supuestos Generales'!$B$19*'Supuestos Generales'!$B$20+'Supuestos Generales'!$B$27*'Supuestos Generales'!$B$19*'Supuestos Generales'!$B$20*Onboarding!AW22)*'Supuestos Generales'!$B$108</f>
        <v/>
      </c>
      <c r="AX20" s="754">
        <f>SUM(OFFSET(Onboarding!$B6,0,MAX(0,COLUMN(AX3)-COLUMN($B$3)-'Supuestos Generales'!$B$111+1),1,MIN(COLUMN(AX3)-COLUMN($B$3)+1,'Supuestos Generales'!$B$111)))*'Supuestos Generales'!$B$97*('Supuestos Generales'!$B$26*'Supuestos Generales'!$B$19*'Supuestos Generales'!$B$20+'Supuestos Generales'!$B$27*'Supuestos Generales'!$B$19*'Supuestos Generales'!$B$20*Onboarding!AX22)*'Supuestos Generales'!$B$108</f>
        <v/>
      </c>
      <c r="AY20" s="754">
        <f>SUM(OFFSET(Onboarding!$B6,0,MAX(0,COLUMN(AY3)-COLUMN($B$3)-'Supuestos Generales'!$B$111+1),1,MIN(COLUMN(AY3)-COLUMN($B$3)+1,'Supuestos Generales'!$B$111)))*'Supuestos Generales'!$B$97*('Supuestos Generales'!$B$26*'Supuestos Generales'!$B$19*'Supuestos Generales'!$B$20+'Supuestos Generales'!$B$27*'Supuestos Generales'!$B$19*'Supuestos Generales'!$B$20*Onboarding!AY22)*'Supuestos Generales'!$B$108</f>
        <v/>
      </c>
      <c r="AZ20" s="754">
        <f>SUM(OFFSET(Onboarding!$B6,0,MAX(0,COLUMN(AZ3)-COLUMN($B$3)-'Supuestos Generales'!$B$111+1),1,MIN(COLUMN(AZ3)-COLUMN($B$3)+1,'Supuestos Generales'!$B$111)))*'Supuestos Generales'!$B$97*('Supuestos Generales'!$B$26*'Supuestos Generales'!$B$19*'Supuestos Generales'!$B$20+'Supuestos Generales'!$B$27*'Supuestos Generales'!$B$19*'Supuestos Generales'!$B$20*Onboarding!AZ22)*'Supuestos Generales'!$B$108</f>
        <v/>
      </c>
      <c r="BA20" s="754">
        <f>SUM(OFFSET(Onboarding!$B6,0,MAX(0,COLUMN(BA3)-COLUMN($B$3)-'Supuestos Generales'!$B$111+1),1,MIN(COLUMN(BA3)-COLUMN($B$3)+1,'Supuestos Generales'!$B$111)))*'Supuestos Generales'!$B$97*('Supuestos Generales'!$B$26*'Supuestos Generales'!$B$19*'Supuestos Generales'!$B$20+'Supuestos Generales'!$B$27*'Supuestos Generales'!$B$19*'Supuestos Generales'!$B$20*Onboarding!BA22)*'Supuestos Generales'!$B$108</f>
        <v/>
      </c>
      <c r="BB20" s="754">
        <f>SUM(OFFSET(Onboarding!$B6,0,MAX(0,COLUMN(BB3)-COLUMN($B$3)-'Supuestos Generales'!$B$111+1),1,MIN(COLUMN(BB3)-COLUMN($B$3)+1,'Supuestos Generales'!$B$111)))*'Supuestos Generales'!$B$97*('Supuestos Generales'!$B$26*'Supuestos Generales'!$B$19*'Supuestos Generales'!$B$20+'Supuestos Generales'!$B$27*'Supuestos Generales'!$B$19*'Supuestos Generales'!$B$20*Onboarding!BB22)*'Supuestos Generales'!$B$108</f>
        <v/>
      </c>
      <c r="BC20" s="754">
        <f>SUM(OFFSET(Onboarding!$B6,0,MAX(0,COLUMN(BC3)-COLUMN($B$3)-'Supuestos Generales'!$B$111+1),1,MIN(COLUMN(BC3)-COLUMN($B$3)+1,'Supuestos Generales'!$B$111)))*'Supuestos Generales'!$B$97*('Supuestos Generales'!$B$26*'Supuestos Generales'!$B$19*'Supuestos Generales'!$B$20+'Supuestos Generales'!$B$27*'Supuestos Generales'!$B$19*'Supuestos Generales'!$B$20*Onboarding!BC22)*'Supuestos Generales'!$B$108</f>
        <v/>
      </c>
      <c r="BD20" s="754">
        <f>SUM(OFFSET(Onboarding!$B6,0,MAX(0,COLUMN(BD3)-COLUMN($B$3)-'Supuestos Generales'!$B$111+1),1,MIN(COLUMN(BD3)-COLUMN($B$3)+1,'Supuestos Generales'!$B$111)))*'Supuestos Generales'!$B$97*('Supuestos Generales'!$B$26*'Supuestos Generales'!$B$19*'Supuestos Generales'!$B$20+'Supuestos Generales'!$B$27*'Supuestos Generales'!$B$19*'Supuestos Generales'!$B$20*Onboarding!BD22)*'Supuestos Generales'!$B$108</f>
        <v/>
      </c>
      <c r="BE20" s="754">
        <f>SUM(OFFSET(Onboarding!$B6,0,MAX(0,COLUMN(BE3)-COLUMN($B$3)-'Supuestos Generales'!$B$111+1),1,MIN(COLUMN(BE3)-COLUMN($B$3)+1,'Supuestos Generales'!$B$111)))*'Supuestos Generales'!$B$97*('Supuestos Generales'!$B$26*'Supuestos Generales'!$B$19*'Supuestos Generales'!$B$20+'Supuestos Generales'!$B$27*'Supuestos Generales'!$B$19*'Supuestos Generales'!$B$20*Onboarding!BE22)*'Supuestos Generales'!$B$108</f>
        <v/>
      </c>
      <c r="BF20" s="754">
        <f>SUM(OFFSET(Onboarding!$B6,0,MAX(0,COLUMN(BF3)-COLUMN($B$3)-'Supuestos Generales'!$B$111+1),1,MIN(COLUMN(BF3)-COLUMN($B$3)+1,'Supuestos Generales'!$B$111)))*'Supuestos Generales'!$B$97*('Supuestos Generales'!$B$26*'Supuestos Generales'!$B$19*'Supuestos Generales'!$B$20+'Supuestos Generales'!$B$27*'Supuestos Generales'!$B$19*'Supuestos Generales'!$B$20*Onboarding!BF22)*'Supuestos Generales'!$B$108</f>
        <v/>
      </c>
      <c r="BG20" s="754">
        <f>SUM(OFFSET(Onboarding!$B6,0,MAX(0,COLUMN(BG3)-COLUMN($B$3)-'Supuestos Generales'!$B$111+1),1,MIN(COLUMN(BG3)-COLUMN($B$3)+1,'Supuestos Generales'!$B$111)))*'Supuestos Generales'!$B$97*('Supuestos Generales'!$B$26*'Supuestos Generales'!$B$19*'Supuestos Generales'!$B$20+'Supuestos Generales'!$B$27*'Supuestos Generales'!$B$19*'Supuestos Generales'!$B$20*Onboarding!BG22)*'Supuestos Generales'!$B$108</f>
        <v/>
      </c>
      <c r="BH20" s="754">
        <f>SUM(OFFSET(Onboarding!$B6,0,MAX(0,COLUMN(BH3)-COLUMN($B$3)-'Supuestos Generales'!$B$111+1),1,MIN(COLUMN(BH3)-COLUMN($B$3)+1,'Supuestos Generales'!$B$111)))*'Supuestos Generales'!$B$97*('Supuestos Generales'!$B$26*'Supuestos Generales'!$B$19*'Supuestos Generales'!$B$20+'Supuestos Generales'!$B$27*'Supuestos Generales'!$B$19*'Supuestos Generales'!$B$20*Onboarding!BH22)*'Supuestos Generales'!$B$108</f>
        <v/>
      </c>
      <c r="BI20" s="754">
        <f>SUM(OFFSET(Onboarding!$B6,0,MAX(0,COLUMN(BI3)-COLUMN($B$3)-'Supuestos Generales'!$B$111+1),1,MIN(COLUMN(BI3)-COLUMN($B$3)+1,'Supuestos Generales'!$B$111)))*'Supuestos Generales'!$B$97*('Supuestos Generales'!$B$26*'Supuestos Generales'!$B$19*'Supuestos Generales'!$B$20+'Supuestos Generales'!$B$27*'Supuestos Generales'!$B$19*'Supuestos Generales'!$B$20*Onboarding!BI22)*'Supuestos Generales'!$B$108</f>
        <v/>
      </c>
      <c r="BJ20" s="757">
        <f>SUM(B20:BI20)</f>
        <v/>
      </c>
    </row>
    <row r="21">
      <c r="A21" s="35" t="inlineStr">
        <is>
          <t>Comisiones Fees 1er año - Aliados</t>
        </is>
      </c>
      <c r="B21" s="754">
        <f>SUM(OFFSET(Onboarding!$B6,0,MAX(0,COLUMN(B3)-COLUMN($B$3)-'Supuestos Generales'!$B$111+1),1,MIN(COLUMN(B3)-COLUMN($B$3)+1,'Supuestos Generales'!$B$111)))*'Supuestos Generales'!$B$98*('Supuestos Generales'!$B$26*'Supuestos Generales'!$B$19*'Supuestos Generales'!$B$20+'Supuestos Generales'!$B$27*'Supuestos Generales'!$B$19*'Supuestos Generales'!$B$20*Onboarding!B22)*'Supuestos Generales'!$B$109</f>
        <v/>
      </c>
      <c r="C21" s="754">
        <f>SUM(OFFSET(Onboarding!$B6,0,MAX(0,COLUMN(C3)-COLUMN($B$3)-'Supuestos Generales'!$B$111+1),1,MIN(COLUMN(C3)-COLUMN($B$3)+1,'Supuestos Generales'!$B$111)))*'Supuestos Generales'!$B$98*('Supuestos Generales'!$B$26*'Supuestos Generales'!$B$19*'Supuestos Generales'!$B$20+'Supuestos Generales'!$B$27*'Supuestos Generales'!$B$19*'Supuestos Generales'!$B$20*Onboarding!C22)*'Supuestos Generales'!$B$109</f>
        <v/>
      </c>
      <c r="D21" s="754">
        <f>SUM(OFFSET(Onboarding!$B6,0,MAX(0,COLUMN(D3)-COLUMN($B$3)-'Supuestos Generales'!$B$111+1),1,MIN(COLUMN(D3)-COLUMN($B$3)+1,'Supuestos Generales'!$B$111)))*'Supuestos Generales'!$B$98*('Supuestos Generales'!$B$26*'Supuestos Generales'!$B$19*'Supuestos Generales'!$B$20+'Supuestos Generales'!$B$27*'Supuestos Generales'!$B$19*'Supuestos Generales'!$B$20*Onboarding!D22)*'Supuestos Generales'!$B$109</f>
        <v/>
      </c>
      <c r="E21" s="754">
        <f>SUM(OFFSET(Onboarding!$B6,0,MAX(0,COLUMN(E3)-COLUMN($B$3)-'Supuestos Generales'!$B$111+1),1,MIN(COLUMN(E3)-COLUMN($B$3)+1,'Supuestos Generales'!$B$111)))*'Supuestos Generales'!$B$98*('Supuestos Generales'!$B$26*'Supuestos Generales'!$B$19*'Supuestos Generales'!$B$20+'Supuestos Generales'!$B$27*'Supuestos Generales'!$B$19*'Supuestos Generales'!$B$20*Onboarding!E22)*'Supuestos Generales'!$B$109</f>
        <v/>
      </c>
      <c r="F21" s="754">
        <f>SUM(OFFSET(Onboarding!$B6,0,MAX(0,COLUMN(F3)-COLUMN($B$3)-'Supuestos Generales'!$B$111+1),1,MIN(COLUMN(F3)-COLUMN($B$3)+1,'Supuestos Generales'!$B$111)))*'Supuestos Generales'!$B$98*('Supuestos Generales'!$B$26*'Supuestos Generales'!$B$19*'Supuestos Generales'!$B$20+'Supuestos Generales'!$B$27*'Supuestos Generales'!$B$19*'Supuestos Generales'!$B$20*Onboarding!F22)*'Supuestos Generales'!$B$109</f>
        <v/>
      </c>
      <c r="G21" s="754">
        <f>SUM(OFFSET(Onboarding!$B6,0,MAX(0,COLUMN(G3)-COLUMN($B$3)-'Supuestos Generales'!$B$111+1),1,MIN(COLUMN(G3)-COLUMN($B$3)+1,'Supuestos Generales'!$B$111)))*'Supuestos Generales'!$B$98*('Supuestos Generales'!$B$26*'Supuestos Generales'!$B$19*'Supuestos Generales'!$B$20+'Supuestos Generales'!$B$27*'Supuestos Generales'!$B$19*'Supuestos Generales'!$B$20*Onboarding!G22)*'Supuestos Generales'!$B$109</f>
        <v/>
      </c>
      <c r="H21" s="754">
        <f>SUM(OFFSET(Onboarding!$B6,0,MAX(0,COLUMN(H3)-COLUMN($B$3)-'Supuestos Generales'!$B$111+1),1,MIN(COLUMN(H3)-COLUMN($B$3)+1,'Supuestos Generales'!$B$111)))*'Supuestos Generales'!$B$98*('Supuestos Generales'!$B$26*'Supuestos Generales'!$B$19*'Supuestos Generales'!$B$20+'Supuestos Generales'!$B$27*'Supuestos Generales'!$B$19*'Supuestos Generales'!$B$20*Onboarding!H22)*'Supuestos Generales'!$B$109</f>
        <v/>
      </c>
      <c r="I21" s="754">
        <f>SUM(OFFSET(Onboarding!$B6,0,MAX(0,COLUMN(I3)-COLUMN($B$3)-'Supuestos Generales'!$B$111+1),1,MIN(COLUMN(I3)-COLUMN($B$3)+1,'Supuestos Generales'!$B$111)))*'Supuestos Generales'!$B$98*('Supuestos Generales'!$B$26*'Supuestos Generales'!$B$19*'Supuestos Generales'!$B$20+'Supuestos Generales'!$B$27*'Supuestos Generales'!$B$19*'Supuestos Generales'!$B$20*Onboarding!I22)*'Supuestos Generales'!$B$109</f>
        <v/>
      </c>
      <c r="J21" s="754">
        <f>SUM(OFFSET(Onboarding!$B6,0,MAX(0,COLUMN(J3)-COLUMN($B$3)-'Supuestos Generales'!$B$111+1),1,MIN(COLUMN(J3)-COLUMN($B$3)+1,'Supuestos Generales'!$B$111)))*'Supuestos Generales'!$B$98*('Supuestos Generales'!$B$26*'Supuestos Generales'!$B$19*'Supuestos Generales'!$B$20+'Supuestos Generales'!$B$27*'Supuestos Generales'!$B$19*'Supuestos Generales'!$B$20*Onboarding!J22)*'Supuestos Generales'!$B$109</f>
        <v/>
      </c>
      <c r="K21" s="754">
        <f>SUM(OFFSET(Onboarding!$B6,0,MAX(0,COLUMN(K3)-COLUMN($B$3)-'Supuestos Generales'!$B$111+1),1,MIN(COLUMN(K3)-COLUMN($B$3)+1,'Supuestos Generales'!$B$111)))*'Supuestos Generales'!$B$98*('Supuestos Generales'!$B$26*'Supuestos Generales'!$B$19*'Supuestos Generales'!$B$20+'Supuestos Generales'!$B$27*'Supuestos Generales'!$B$19*'Supuestos Generales'!$B$20*Onboarding!K22)*'Supuestos Generales'!$B$109</f>
        <v/>
      </c>
      <c r="L21" s="754">
        <f>SUM(OFFSET(Onboarding!$B6,0,MAX(0,COLUMN(L3)-COLUMN($B$3)-'Supuestos Generales'!$B$111+1),1,MIN(COLUMN(L3)-COLUMN($B$3)+1,'Supuestos Generales'!$B$111)))*'Supuestos Generales'!$B$98*('Supuestos Generales'!$B$26*'Supuestos Generales'!$B$19*'Supuestos Generales'!$B$20+'Supuestos Generales'!$B$27*'Supuestos Generales'!$B$19*'Supuestos Generales'!$B$20*Onboarding!L22)*'Supuestos Generales'!$B$109</f>
        <v/>
      </c>
      <c r="M21" s="754">
        <f>SUM(OFFSET(Onboarding!$B6,0,MAX(0,COLUMN(M3)-COLUMN($B$3)-'Supuestos Generales'!$B$111+1),1,MIN(COLUMN(M3)-COLUMN($B$3)+1,'Supuestos Generales'!$B$111)))*'Supuestos Generales'!$B$98*('Supuestos Generales'!$B$26*'Supuestos Generales'!$B$19*'Supuestos Generales'!$B$20+'Supuestos Generales'!$B$27*'Supuestos Generales'!$B$19*'Supuestos Generales'!$B$20*Onboarding!M22)*'Supuestos Generales'!$B$109</f>
        <v/>
      </c>
      <c r="N21" s="754">
        <f>SUM(OFFSET(Onboarding!$B6,0,MAX(0,COLUMN(N3)-COLUMN($B$3)-'Supuestos Generales'!$B$111+1),1,MIN(COLUMN(N3)-COLUMN($B$3)+1,'Supuestos Generales'!$B$111)))*'Supuestos Generales'!$B$98*('Supuestos Generales'!$B$26*'Supuestos Generales'!$B$19*'Supuestos Generales'!$B$20+'Supuestos Generales'!$B$27*'Supuestos Generales'!$B$19*'Supuestos Generales'!$B$20*Onboarding!N22)*'Supuestos Generales'!$B$109</f>
        <v/>
      </c>
      <c r="O21" s="754">
        <f>SUM(OFFSET(Onboarding!$B6,0,MAX(0,COLUMN(O3)-COLUMN($B$3)-'Supuestos Generales'!$B$111+1),1,MIN(COLUMN(O3)-COLUMN($B$3)+1,'Supuestos Generales'!$B$111)))*'Supuestos Generales'!$B$98*('Supuestos Generales'!$B$26*'Supuestos Generales'!$B$19*'Supuestos Generales'!$B$20+'Supuestos Generales'!$B$27*'Supuestos Generales'!$B$19*'Supuestos Generales'!$B$20*Onboarding!O22)*'Supuestos Generales'!$B$109</f>
        <v/>
      </c>
      <c r="P21" s="754">
        <f>SUM(OFFSET(Onboarding!$B6,0,MAX(0,COLUMN(P3)-COLUMN($B$3)-'Supuestos Generales'!$B$111+1),1,MIN(COLUMN(P3)-COLUMN($B$3)+1,'Supuestos Generales'!$B$111)))*'Supuestos Generales'!$B$98*('Supuestos Generales'!$B$26*'Supuestos Generales'!$B$19*'Supuestos Generales'!$B$20+'Supuestos Generales'!$B$27*'Supuestos Generales'!$B$19*'Supuestos Generales'!$B$20*Onboarding!P22)*'Supuestos Generales'!$B$109</f>
        <v/>
      </c>
      <c r="Q21" s="754">
        <f>SUM(OFFSET(Onboarding!$B6,0,MAX(0,COLUMN(Q3)-COLUMN($B$3)-'Supuestos Generales'!$B$111+1),1,MIN(COLUMN(Q3)-COLUMN($B$3)+1,'Supuestos Generales'!$B$111)))*'Supuestos Generales'!$B$98*('Supuestos Generales'!$B$26*'Supuestos Generales'!$B$19*'Supuestos Generales'!$B$20+'Supuestos Generales'!$B$27*'Supuestos Generales'!$B$19*'Supuestos Generales'!$B$20*Onboarding!Q22)*'Supuestos Generales'!$B$109</f>
        <v/>
      </c>
      <c r="R21" s="754">
        <f>SUM(OFFSET(Onboarding!$B6,0,MAX(0,COLUMN(R3)-COLUMN($B$3)-'Supuestos Generales'!$B$111+1),1,MIN(COLUMN(R3)-COLUMN($B$3)+1,'Supuestos Generales'!$B$111)))*'Supuestos Generales'!$B$98*('Supuestos Generales'!$B$26*'Supuestos Generales'!$B$19*'Supuestos Generales'!$B$20+'Supuestos Generales'!$B$27*'Supuestos Generales'!$B$19*'Supuestos Generales'!$B$20*Onboarding!R22)*'Supuestos Generales'!$B$109</f>
        <v/>
      </c>
      <c r="S21" s="754">
        <f>SUM(OFFSET(Onboarding!$B6,0,MAX(0,COLUMN(S3)-COLUMN($B$3)-'Supuestos Generales'!$B$111+1),1,MIN(COLUMN(S3)-COLUMN($B$3)+1,'Supuestos Generales'!$B$111)))*'Supuestos Generales'!$B$98*('Supuestos Generales'!$B$26*'Supuestos Generales'!$B$19*'Supuestos Generales'!$B$20+'Supuestos Generales'!$B$27*'Supuestos Generales'!$B$19*'Supuestos Generales'!$B$20*Onboarding!S22)*'Supuestos Generales'!$B$109</f>
        <v/>
      </c>
      <c r="T21" s="754">
        <f>SUM(OFFSET(Onboarding!$B6,0,MAX(0,COLUMN(T3)-COLUMN($B$3)-'Supuestos Generales'!$B$111+1),1,MIN(COLUMN(T3)-COLUMN($B$3)+1,'Supuestos Generales'!$B$111)))*'Supuestos Generales'!$B$98*('Supuestos Generales'!$B$26*'Supuestos Generales'!$B$19*'Supuestos Generales'!$B$20+'Supuestos Generales'!$B$27*'Supuestos Generales'!$B$19*'Supuestos Generales'!$B$20*Onboarding!T22)*'Supuestos Generales'!$B$109</f>
        <v/>
      </c>
      <c r="U21" s="754">
        <f>SUM(OFFSET(Onboarding!$B6,0,MAX(0,COLUMN(U3)-COLUMN($B$3)-'Supuestos Generales'!$B$111+1),1,MIN(COLUMN(U3)-COLUMN($B$3)+1,'Supuestos Generales'!$B$111)))*'Supuestos Generales'!$B$98*('Supuestos Generales'!$B$26*'Supuestos Generales'!$B$19*'Supuestos Generales'!$B$20+'Supuestos Generales'!$B$27*'Supuestos Generales'!$B$19*'Supuestos Generales'!$B$20*Onboarding!U22)*'Supuestos Generales'!$B$109</f>
        <v/>
      </c>
      <c r="V21" s="754">
        <f>SUM(OFFSET(Onboarding!$B6,0,MAX(0,COLUMN(V3)-COLUMN($B$3)-'Supuestos Generales'!$B$111+1),1,MIN(COLUMN(V3)-COLUMN($B$3)+1,'Supuestos Generales'!$B$111)))*'Supuestos Generales'!$B$98*('Supuestos Generales'!$B$26*'Supuestos Generales'!$B$19*'Supuestos Generales'!$B$20+'Supuestos Generales'!$B$27*'Supuestos Generales'!$B$19*'Supuestos Generales'!$B$20*Onboarding!V22)*'Supuestos Generales'!$B$109</f>
        <v/>
      </c>
      <c r="W21" s="754">
        <f>SUM(OFFSET(Onboarding!$B6,0,MAX(0,COLUMN(W3)-COLUMN($B$3)-'Supuestos Generales'!$B$111+1),1,MIN(COLUMN(W3)-COLUMN($B$3)+1,'Supuestos Generales'!$B$111)))*'Supuestos Generales'!$B$98*('Supuestos Generales'!$B$26*'Supuestos Generales'!$B$19*'Supuestos Generales'!$B$20+'Supuestos Generales'!$B$27*'Supuestos Generales'!$B$19*'Supuestos Generales'!$B$20*Onboarding!W22)*'Supuestos Generales'!$B$109</f>
        <v/>
      </c>
      <c r="X21" s="754">
        <f>SUM(OFFSET(Onboarding!$B6,0,MAX(0,COLUMN(X3)-COLUMN($B$3)-'Supuestos Generales'!$B$111+1),1,MIN(COLUMN(X3)-COLUMN($B$3)+1,'Supuestos Generales'!$B$111)))*'Supuestos Generales'!$B$98*('Supuestos Generales'!$B$26*'Supuestos Generales'!$B$19*'Supuestos Generales'!$B$20+'Supuestos Generales'!$B$27*'Supuestos Generales'!$B$19*'Supuestos Generales'!$B$20*Onboarding!X22)*'Supuestos Generales'!$B$109</f>
        <v/>
      </c>
      <c r="Y21" s="754">
        <f>SUM(OFFSET(Onboarding!$B6,0,MAX(0,COLUMN(Y3)-COLUMN($B$3)-'Supuestos Generales'!$B$111+1),1,MIN(COLUMN(Y3)-COLUMN($B$3)+1,'Supuestos Generales'!$B$111)))*'Supuestos Generales'!$B$98*('Supuestos Generales'!$B$26*'Supuestos Generales'!$B$19*'Supuestos Generales'!$B$20+'Supuestos Generales'!$B$27*'Supuestos Generales'!$B$19*'Supuestos Generales'!$B$20*Onboarding!Y22)*'Supuestos Generales'!$B$109</f>
        <v/>
      </c>
      <c r="Z21" s="754">
        <f>SUM(OFFSET(Onboarding!$B6,0,MAX(0,COLUMN(Z3)-COLUMN($B$3)-'Supuestos Generales'!$B$111+1),1,MIN(COLUMN(Z3)-COLUMN($B$3)+1,'Supuestos Generales'!$B$111)))*'Supuestos Generales'!$B$98*('Supuestos Generales'!$B$26*'Supuestos Generales'!$B$19*'Supuestos Generales'!$B$20+'Supuestos Generales'!$B$27*'Supuestos Generales'!$B$19*'Supuestos Generales'!$B$20*Onboarding!Z22)*'Supuestos Generales'!$B$109</f>
        <v/>
      </c>
      <c r="AA21" s="754">
        <f>SUM(OFFSET(Onboarding!$B6,0,MAX(0,COLUMN(AA3)-COLUMN($B$3)-'Supuestos Generales'!$B$111+1),1,MIN(COLUMN(AA3)-COLUMN($B$3)+1,'Supuestos Generales'!$B$111)))*'Supuestos Generales'!$B$98*('Supuestos Generales'!$B$26*'Supuestos Generales'!$B$19*'Supuestos Generales'!$B$20+'Supuestos Generales'!$B$27*'Supuestos Generales'!$B$19*'Supuestos Generales'!$B$20*Onboarding!AA22)*'Supuestos Generales'!$B$109</f>
        <v/>
      </c>
      <c r="AB21" s="754">
        <f>SUM(OFFSET(Onboarding!$B6,0,MAX(0,COLUMN(AB3)-COLUMN($B$3)-'Supuestos Generales'!$B$111+1),1,MIN(COLUMN(AB3)-COLUMN($B$3)+1,'Supuestos Generales'!$B$111)))*'Supuestos Generales'!$B$98*('Supuestos Generales'!$B$26*'Supuestos Generales'!$B$19*'Supuestos Generales'!$B$20+'Supuestos Generales'!$B$27*'Supuestos Generales'!$B$19*'Supuestos Generales'!$B$20*Onboarding!AB22)*'Supuestos Generales'!$B$109</f>
        <v/>
      </c>
      <c r="AC21" s="754">
        <f>SUM(OFFSET(Onboarding!$B6,0,MAX(0,COLUMN(AC3)-COLUMN($B$3)-'Supuestos Generales'!$B$111+1),1,MIN(COLUMN(AC3)-COLUMN($B$3)+1,'Supuestos Generales'!$B$111)))*'Supuestos Generales'!$B$98*('Supuestos Generales'!$B$26*'Supuestos Generales'!$B$19*'Supuestos Generales'!$B$20+'Supuestos Generales'!$B$27*'Supuestos Generales'!$B$19*'Supuestos Generales'!$B$20*Onboarding!AC22)*'Supuestos Generales'!$B$109</f>
        <v/>
      </c>
      <c r="AD21" s="754">
        <f>SUM(OFFSET(Onboarding!$B6,0,MAX(0,COLUMN(AD3)-COLUMN($B$3)-'Supuestos Generales'!$B$111+1),1,MIN(COLUMN(AD3)-COLUMN($B$3)+1,'Supuestos Generales'!$B$111)))*'Supuestos Generales'!$B$98*('Supuestos Generales'!$B$26*'Supuestos Generales'!$B$19*'Supuestos Generales'!$B$20+'Supuestos Generales'!$B$27*'Supuestos Generales'!$B$19*'Supuestos Generales'!$B$20*Onboarding!AD22)*'Supuestos Generales'!$B$109</f>
        <v/>
      </c>
      <c r="AE21" s="754">
        <f>SUM(OFFSET(Onboarding!$B6,0,MAX(0,COLUMN(AE3)-COLUMN($B$3)-'Supuestos Generales'!$B$111+1),1,MIN(COLUMN(AE3)-COLUMN($B$3)+1,'Supuestos Generales'!$B$111)))*'Supuestos Generales'!$B$98*('Supuestos Generales'!$B$26*'Supuestos Generales'!$B$19*'Supuestos Generales'!$B$20+'Supuestos Generales'!$B$27*'Supuestos Generales'!$B$19*'Supuestos Generales'!$B$20*Onboarding!AE22)*'Supuestos Generales'!$B$109</f>
        <v/>
      </c>
      <c r="AF21" s="754">
        <f>SUM(OFFSET(Onboarding!$B6,0,MAX(0,COLUMN(AF3)-COLUMN($B$3)-'Supuestos Generales'!$B$111+1),1,MIN(COLUMN(AF3)-COLUMN($B$3)+1,'Supuestos Generales'!$B$111)))*'Supuestos Generales'!$B$98*('Supuestos Generales'!$B$26*'Supuestos Generales'!$B$19*'Supuestos Generales'!$B$20+'Supuestos Generales'!$B$27*'Supuestos Generales'!$B$19*'Supuestos Generales'!$B$20*Onboarding!AF22)*'Supuestos Generales'!$B$109</f>
        <v/>
      </c>
      <c r="AG21" s="754">
        <f>SUM(OFFSET(Onboarding!$B6,0,MAX(0,COLUMN(AG3)-COLUMN($B$3)-'Supuestos Generales'!$B$111+1),1,MIN(COLUMN(AG3)-COLUMN($B$3)+1,'Supuestos Generales'!$B$111)))*'Supuestos Generales'!$B$98*('Supuestos Generales'!$B$26*'Supuestos Generales'!$B$19*'Supuestos Generales'!$B$20+'Supuestos Generales'!$B$27*'Supuestos Generales'!$B$19*'Supuestos Generales'!$B$20*Onboarding!AG22)*'Supuestos Generales'!$B$109</f>
        <v/>
      </c>
      <c r="AH21" s="754">
        <f>SUM(OFFSET(Onboarding!$B6,0,MAX(0,COLUMN(AH3)-COLUMN($B$3)-'Supuestos Generales'!$B$111+1),1,MIN(COLUMN(AH3)-COLUMN($B$3)+1,'Supuestos Generales'!$B$111)))*'Supuestos Generales'!$B$98*('Supuestos Generales'!$B$26*'Supuestos Generales'!$B$19*'Supuestos Generales'!$B$20+'Supuestos Generales'!$B$27*'Supuestos Generales'!$B$19*'Supuestos Generales'!$B$20*Onboarding!AH22)*'Supuestos Generales'!$B$109</f>
        <v/>
      </c>
      <c r="AI21" s="754">
        <f>SUM(OFFSET(Onboarding!$B6,0,MAX(0,COLUMN(AI3)-COLUMN($B$3)-'Supuestos Generales'!$B$111+1),1,MIN(COLUMN(AI3)-COLUMN($B$3)+1,'Supuestos Generales'!$B$111)))*'Supuestos Generales'!$B$98*('Supuestos Generales'!$B$26*'Supuestos Generales'!$B$19*'Supuestos Generales'!$B$20+'Supuestos Generales'!$B$27*'Supuestos Generales'!$B$19*'Supuestos Generales'!$B$20*Onboarding!AI22)*'Supuestos Generales'!$B$109</f>
        <v/>
      </c>
      <c r="AJ21" s="754">
        <f>SUM(OFFSET(Onboarding!$B6,0,MAX(0,COLUMN(AJ3)-COLUMN($B$3)-'Supuestos Generales'!$B$111+1),1,MIN(COLUMN(AJ3)-COLUMN($B$3)+1,'Supuestos Generales'!$B$111)))*'Supuestos Generales'!$B$98*('Supuestos Generales'!$B$26*'Supuestos Generales'!$B$19*'Supuestos Generales'!$B$20+'Supuestos Generales'!$B$27*'Supuestos Generales'!$B$19*'Supuestos Generales'!$B$20*Onboarding!AJ22)*'Supuestos Generales'!$B$109</f>
        <v/>
      </c>
      <c r="AK21" s="754">
        <f>SUM(OFFSET(Onboarding!$B6,0,MAX(0,COLUMN(AK3)-COLUMN($B$3)-'Supuestos Generales'!$B$111+1),1,MIN(COLUMN(AK3)-COLUMN($B$3)+1,'Supuestos Generales'!$B$111)))*'Supuestos Generales'!$B$98*('Supuestos Generales'!$B$26*'Supuestos Generales'!$B$19*'Supuestos Generales'!$B$20+'Supuestos Generales'!$B$27*'Supuestos Generales'!$B$19*'Supuestos Generales'!$B$20*Onboarding!AK22)*'Supuestos Generales'!$B$109</f>
        <v/>
      </c>
      <c r="AL21" s="754">
        <f>SUM(OFFSET(Onboarding!$B6,0,MAX(0,COLUMN(AL3)-COLUMN($B$3)-'Supuestos Generales'!$B$111+1),1,MIN(COLUMN(AL3)-COLUMN($B$3)+1,'Supuestos Generales'!$B$111)))*'Supuestos Generales'!$B$98*('Supuestos Generales'!$B$26*'Supuestos Generales'!$B$19*'Supuestos Generales'!$B$20+'Supuestos Generales'!$B$27*'Supuestos Generales'!$B$19*'Supuestos Generales'!$B$20*Onboarding!AL22)*'Supuestos Generales'!$B$109</f>
        <v/>
      </c>
      <c r="AM21" s="754">
        <f>SUM(OFFSET(Onboarding!$B6,0,MAX(0,COLUMN(AM3)-COLUMN($B$3)-'Supuestos Generales'!$B$111+1),1,MIN(COLUMN(AM3)-COLUMN($B$3)+1,'Supuestos Generales'!$B$111)))*'Supuestos Generales'!$B$98*('Supuestos Generales'!$B$26*'Supuestos Generales'!$B$19*'Supuestos Generales'!$B$20+'Supuestos Generales'!$B$27*'Supuestos Generales'!$B$19*'Supuestos Generales'!$B$20*Onboarding!AM22)*'Supuestos Generales'!$B$109</f>
        <v/>
      </c>
      <c r="AN21" s="754">
        <f>SUM(OFFSET(Onboarding!$B6,0,MAX(0,COLUMN(AN3)-COLUMN($B$3)-'Supuestos Generales'!$B$111+1),1,MIN(COLUMN(AN3)-COLUMN($B$3)+1,'Supuestos Generales'!$B$111)))*'Supuestos Generales'!$B$98*('Supuestos Generales'!$B$26*'Supuestos Generales'!$B$19*'Supuestos Generales'!$B$20+'Supuestos Generales'!$B$27*'Supuestos Generales'!$B$19*'Supuestos Generales'!$B$20*Onboarding!AN22)*'Supuestos Generales'!$B$109</f>
        <v/>
      </c>
      <c r="AO21" s="754">
        <f>SUM(OFFSET(Onboarding!$B6,0,MAX(0,COLUMN(AO3)-COLUMN($B$3)-'Supuestos Generales'!$B$111+1),1,MIN(COLUMN(AO3)-COLUMN($B$3)+1,'Supuestos Generales'!$B$111)))*'Supuestos Generales'!$B$98*('Supuestos Generales'!$B$26*'Supuestos Generales'!$B$19*'Supuestos Generales'!$B$20+'Supuestos Generales'!$B$27*'Supuestos Generales'!$B$19*'Supuestos Generales'!$B$20*Onboarding!AO22)*'Supuestos Generales'!$B$109</f>
        <v/>
      </c>
      <c r="AP21" s="754">
        <f>SUM(OFFSET(Onboarding!$B6,0,MAX(0,COLUMN(AP3)-COLUMN($B$3)-'Supuestos Generales'!$B$111+1),1,MIN(COLUMN(AP3)-COLUMN($B$3)+1,'Supuestos Generales'!$B$111)))*'Supuestos Generales'!$B$98*('Supuestos Generales'!$B$26*'Supuestos Generales'!$B$19*'Supuestos Generales'!$B$20+'Supuestos Generales'!$B$27*'Supuestos Generales'!$B$19*'Supuestos Generales'!$B$20*Onboarding!AP22)*'Supuestos Generales'!$B$109</f>
        <v/>
      </c>
      <c r="AQ21" s="754">
        <f>SUM(OFFSET(Onboarding!$B6,0,MAX(0,COLUMN(AQ3)-COLUMN($B$3)-'Supuestos Generales'!$B$111+1),1,MIN(COLUMN(AQ3)-COLUMN($B$3)+1,'Supuestos Generales'!$B$111)))*'Supuestos Generales'!$B$98*('Supuestos Generales'!$B$26*'Supuestos Generales'!$B$19*'Supuestos Generales'!$B$20+'Supuestos Generales'!$B$27*'Supuestos Generales'!$B$19*'Supuestos Generales'!$B$20*Onboarding!AQ22)*'Supuestos Generales'!$B$109</f>
        <v/>
      </c>
      <c r="AR21" s="754">
        <f>SUM(OFFSET(Onboarding!$B6,0,MAX(0,COLUMN(AR3)-COLUMN($B$3)-'Supuestos Generales'!$B$111+1),1,MIN(COLUMN(AR3)-COLUMN($B$3)+1,'Supuestos Generales'!$B$111)))*'Supuestos Generales'!$B$98*('Supuestos Generales'!$B$26*'Supuestos Generales'!$B$19*'Supuestos Generales'!$B$20+'Supuestos Generales'!$B$27*'Supuestos Generales'!$B$19*'Supuestos Generales'!$B$20*Onboarding!AR22)*'Supuestos Generales'!$B$109</f>
        <v/>
      </c>
      <c r="AS21" s="754">
        <f>SUM(OFFSET(Onboarding!$B6,0,MAX(0,COLUMN(AS3)-COLUMN($B$3)-'Supuestos Generales'!$B$111+1),1,MIN(COLUMN(AS3)-COLUMN($B$3)+1,'Supuestos Generales'!$B$111)))*'Supuestos Generales'!$B$98*('Supuestos Generales'!$B$26*'Supuestos Generales'!$B$19*'Supuestos Generales'!$B$20+'Supuestos Generales'!$B$27*'Supuestos Generales'!$B$19*'Supuestos Generales'!$B$20*Onboarding!AS22)*'Supuestos Generales'!$B$109</f>
        <v/>
      </c>
      <c r="AT21" s="754">
        <f>SUM(OFFSET(Onboarding!$B6,0,MAX(0,COLUMN(AT3)-COLUMN($B$3)-'Supuestos Generales'!$B$111+1),1,MIN(COLUMN(AT3)-COLUMN($B$3)+1,'Supuestos Generales'!$B$111)))*'Supuestos Generales'!$B$98*('Supuestos Generales'!$B$26*'Supuestos Generales'!$B$19*'Supuestos Generales'!$B$20+'Supuestos Generales'!$B$27*'Supuestos Generales'!$B$19*'Supuestos Generales'!$B$20*Onboarding!AT22)*'Supuestos Generales'!$B$109</f>
        <v/>
      </c>
      <c r="AU21" s="754">
        <f>SUM(OFFSET(Onboarding!$B6,0,MAX(0,COLUMN(AU3)-COLUMN($B$3)-'Supuestos Generales'!$B$111+1),1,MIN(COLUMN(AU3)-COLUMN($B$3)+1,'Supuestos Generales'!$B$111)))*'Supuestos Generales'!$B$98*('Supuestos Generales'!$B$26*'Supuestos Generales'!$B$19*'Supuestos Generales'!$B$20+'Supuestos Generales'!$B$27*'Supuestos Generales'!$B$19*'Supuestos Generales'!$B$20*Onboarding!AU22)*'Supuestos Generales'!$B$109</f>
        <v/>
      </c>
      <c r="AV21" s="754">
        <f>SUM(OFFSET(Onboarding!$B6,0,MAX(0,COLUMN(AV3)-COLUMN($B$3)-'Supuestos Generales'!$B$111+1),1,MIN(COLUMN(AV3)-COLUMN($B$3)+1,'Supuestos Generales'!$B$111)))*'Supuestos Generales'!$B$98*('Supuestos Generales'!$B$26*'Supuestos Generales'!$B$19*'Supuestos Generales'!$B$20+'Supuestos Generales'!$B$27*'Supuestos Generales'!$B$19*'Supuestos Generales'!$B$20*Onboarding!AV22)*'Supuestos Generales'!$B$109</f>
        <v/>
      </c>
      <c r="AW21" s="754">
        <f>SUM(OFFSET(Onboarding!$B6,0,MAX(0,COLUMN(AW3)-COLUMN($B$3)-'Supuestos Generales'!$B$111+1),1,MIN(COLUMN(AW3)-COLUMN($B$3)+1,'Supuestos Generales'!$B$111)))*'Supuestos Generales'!$B$98*('Supuestos Generales'!$B$26*'Supuestos Generales'!$B$19*'Supuestos Generales'!$B$20+'Supuestos Generales'!$B$27*'Supuestos Generales'!$B$19*'Supuestos Generales'!$B$20*Onboarding!AW22)*'Supuestos Generales'!$B$109</f>
        <v/>
      </c>
      <c r="AX21" s="754">
        <f>SUM(OFFSET(Onboarding!$B6,0,MAX(0,COLUMN(AX3)-COLUMN($B$3)-'Supuestos Generales'!$B$111+1),1,MIN(COLUMN(AX3)-COLUMN($B$3)+1,'Supuestos Generales'!$B$111)))*'Supuestos Generales'!$B$98*('Supuestos Generales'!$B$26*'Supuestos Generales'!$B$19*'Supuestos Generales'!$B$20+'Supuestos Generales'!$B$27*'Supuestos Generales'!$B$19*'Supuestos Generales'!$B$20*Onboarding!AX22)*'Supuestos Generales'!$B$109</f>
        <v/>
      </c>
      <c r="AY21" s="754">
        <f>SUM(OFFSET(Onboarding!$B6,0,MAX(0,COLUMN(AY3)-COLUMN($B$3)-'Supuestos Generales'!$B$111+1),1,MIN(COLUMN(AY3)-COLUMN($B$3)+1,'Supuestos Generales'!$B$111)))*'Supuestos Generales'!$B$98*('Supuestos Generales'!$B$26*'Supuestos Generales'!$B$19*'Supuestos Generales'!$B$20+'Supuestos Generales'!$B$27*'Supuestos Generales'!$B$19*'Supuestos Generales'!$B$20*Onboarding!AY22)*'Supuestos Generales'!$B$109</f>
        <v/>
      </c>
      <c r="AZ21" s="754">
        <f>SUM(OFFSET(Onboarding!$B6,0,MAX(0,COLUMN(AZ3)-COLUMN($B$3)-'Supuestos Generales'!$B$111+1),1,MIN(COLUMN(AZ3)-COLUMN($B$3)+1,'Supuestos Generales'!$B$111)))*'Supuestos Generales'!$B$98*('Supuestos Generales'!$B$26*'Supuestos Generales'!$B$19*'Supuestos Generales'!$B$20+'Supuestos Generales'!$B$27*'Supuestos Generales'!$B$19*'Supuestos Generales'!$B$20*Onboarding!AZ22)*'Supuestos Generales'!$B$109</f>
        <v/>
      </c>
      <c r="BA21" s="754">
        <f>SUM(OFFSET(Onboarding!$B6,0,MAX(0,COLUMN(BA3)-COLUMN($B$3)-'Supuestos Generales'!$B$111+1),1,MIN(COLUMN(BA3)-COLUMN($B$3)+1,'Supuestos Generales'!$B$111)))*'Supuestos Generales'!$B$98*('Supuestos Generales'!$B$26*'Supuestos Generales'!$B$19*'Supuestos Generales'!$B$20+'Supuestos Generales'!$B$27*'Supuestos Generales'!$B$19*'Supuestos Generales'!$B$20*Onboarding!BA22)*'Supuestos Generales'!$B$109</f>
        <v/>
      </c>
      <c r="BB21" s="754">
        <f>SUM(OFFSET(Onboarding!$B6,0,MAX(0,COLUMN(BB3)-COLUMN($B$3)-'Supuestos Generales'!$B$111+1),1,MIN(COLUMN(BB3)-COLUMN($B$3)+1,'Supuestos Generales'!$B$111)))*'Supuestos Generales'!$B$98*('Supuestos Generales'!$B$26*'Supuestos Generales'!$B$19*'Supuestos Generales'!$B$20+'Supuestos Generales'!$B$27*'Supuestos Generales'!$B$19*'Supuestos Generales'!$B$20*Onboarding!BB22)*'Supuestos Generales'!$B$109</f>
        <v/>
      </c>
      <c r="BC21" s="754">
        <f>SUM(OFFSET(Onboarding!$B6,0,MAX(0,COLUMN(BC3)-COLUMN($B$3)-'Supuestos Generales'!$B$111+1),1,MIN(COLUMN(BC3)-COLUMN($B$3)+1,'Supuestos Generales'!$B$111)))*'Supuestos Generales'!$B$98*('Supuestos Generales'!$B$26*'Supuestos Generales'!$B$19*'Supuestos Generales'!$B$20+'Supuestos Generales'!$B$27*'Supuestos Generales'!$B$19*'Supuestos Generales'!$B$20*Onboarding!BC22)*'Supuestos Generales'!$B$109</f>
        <v/>
      </c>
      <c r="BD21" s="754">
        <f>SUM(OFFSET(Onboarding!$B6,0,MAX(0,COLUMN(BD3)-COLUMN($B$3)-'Supuestos Generales'!$B$111+1),1,MIN(COLUMN(BD3)-COLUMN($B$3)+1,'Supuestos Generales'!$B$111)))*'Supuestos Generales'!$B$98*('Supuestos Generales'!$B$26*'Supuestos Generales'!$B$19*'Supuestos Generales'!$B$20+'Supuestos Generales'!$B$27*'Supuestos Generales'!$B$19*'Supuestos Generales'!$B$20*Onboarding!BD22)*'Supuestos Generales'!$B$109</f>
        <v/>
      </c>
      <c r="BE21" s="754">
        <f>SUM(OFFSET(Onboarding!$B6,0,MAX(0,COLUMN(BE3)-COLUMN($B$3)-'Supuestos Generales'!$B$111+1),1,MIN(COLUMN(BE3)-COLUMN($B$3)+1,'Supuestos Generales'!$B$111)))*'Supuestos Generales'!$B$98*('Supuestos Generales'!$B$26*'Supuestos Generales'!$B$19*'Supuestos Generales'!$B$20+'Supuestos Generales'!$B$27*'Supuestos Generales'!$B$19*'Supuestos Generales'!$B$20*Onboarding!BE22)*'Supuestos Generales'!$B$109</f>
        <v/>
      </c>
      <c r="BF21" s="754">
        <f>SUM(OFFSET(Onboarding!$B6,0,MAX(0,COLUMN(BF3)-COLUMN($B$3)-'Supuestos Generales'!$B$111+1),1,MIN(COLUMN(BF3)-COLUMN($B$3)+1,'Supuestos Generales'!$B$111)))*'Supuestos Generales'!$B$98*('Supuestos Generales'!$B$26*'Supuestos Generales'!$B$19*'Supuestos Generales'!$B$20+'Supuestos Generales'!$B$27*'Supuestos Generales'!$B$19*'Supuestos Generales'!$B$20*Onboarding!BF22)*'Supuestos Generales'!$B$109</f>
        <v/>
      </c>
      <c r="BG21" s="754">
        <f>SUM(OFFSET(Onboarding!$B6,0,MAX(0,COLUMN(BG3)-COLUMN($B$3)-'Supuestos Generales'!$B$111+1),1,MIN(COLUMN(BG3)-COLUMN($B$3)+1,'Supuestos Generales'!$B$111)))*'Supuestos Generales'!$B$98*('Supuestos Generales'!$B$26*'Supuestos Generales'!$B$19*'Supuestos Generales'!$B$20+'Supuestos Generales'!$B$27*'Supuestos Generales'!$B$19*'Supuestos Generales'!$B$20*Onboarding!BG22)*'Supuestos Generales'!$B$109</f>
        <v/>
      </c>
      <c r="BH21" s="754">
        <f>SUM(OFFSET(Onboarding!$B6,0,MAX(0,COLUMN(BH3)-COLUMN($B$3)-'Supuestos Generales'!$B$111+1),1,MIN(COLUMN(BH3)-COLUMN($B$3)+1,'Supuestos Generales'!$B$111)))*'Supuestos Generales'!$B$98*('Supuestos Generales'!$B$26*'Supuestos Generales'!$B$19*'Supuestos Generales'!$B$20+'Supuestos Generales'!$B$27*'Supuestos Generales'!$B$19*'Supuestos Generales'!$B$20*Onboarding!BH22)*'Supuestos Generales'!$B$109</f>
        <v/>
      </c>
      <c r="BI21" s="754">
        <f>SUM(OFFSET(Onboarding!$B6,0,MAX(0,COLUMN(BI3)-COLUMN($B$3)-'Supuestos Generales'!$B$111+1),1,MIN(COLUMN(BI3)-COLUMN($B$3)+1,'Supuestos Generales'!$B$111)))*'Supuestos Generales'!$B$98*('Supuestos Generales'!$B$26*'Supuestos Generales'!$B$19*'Supuestos Generales'!$B$20+'Supuestos Generales'!$B$27*'Supuestos Generales'!$B$19*'Supuestos Generales'!$B$20*Onboarding!BI22)*'Supuestos Generales'!$B$109</f>
        <v/>
      </c>
      <c r="BJ21" s="757">
        <f>SUM(B21:BI21)</f>
        <v/>
      </c>
    </row>
    <row r="22">
      <c r="A22" s="35" t="inlineStr">
        <is>
          <t>Comisiones Fees 1er año - Partners POS</t>
        </is>
      </c>
      <c r="B22" s="754">
        <f>SUM(OFFSET(Onboarding!$B6,0,MAX(0,COLUMN(B3)-COLUMN($B$3)-'Supuestos Generales'!$B$111+1),1,MIN(COLUMN(B3)-COLUMN($B$3)+1,'Supuestos Generales'!$B$111)))*'Supuestos Generales'!$B$99*('Supuestos Generales'!$B$26*'Supuestos Generales'!$B$19*'Supuestos Generales'!$B$20+'Supuestos Generales'!$B$27*'Supuestos Generales'!$B$19*'Supuestos Generales'!$B$20*Onboarding!B22)*'Supuestos Generales'!$B$110</f>
        <v/>
      </c>
      <c r="C22" s="754">
        <f>SUM(OFFSET(Onboarding!$B6,0,MAX(0,COLUMN(C3)-COLUMN($B$3)-'Supuestos Generales'!$B$111+1),1,MIN(COLUMN(C3)-COLUMN($B$3)+1,'Supuestos Generales'!$B$111)))*'Supuestos Generales'!$B$99*('Supuestos Generales'!$B$26*'Supuestos Generales'!$B$19*'Supuestos Generales'!$B$20+'Supuestos Generales'!$B$27*'Supuestos Generales'!$B$19*'Supuestos Generales'!$B$20*Onboarding!C22)*'Supuestos Generales'!$B$110</f>
        <v/>
      </c>
      <c r="D22" s="754">
        <f>SUM(OFFSET(Onboarding!$B6,0,MAX(0,COLUMN(D3)-COLUMN($B$3)-'Supuestos Generales'!$B$111+1),1,MIN(COLUMN(D3)-COLUMN($B$3)+1,'Supuestos Generales'!$B$111)))*'Supuestos Generales'!$B$99*('Supuestos Generales'!$B$26*'Supuestos Generales'!$B$19*'Supuestos Generales'!$B$20+'Supuestos Generales'!$B$27*'Supuestos Generales'!$B$19*'Supuestos Generales'!$B$20*Onboarding!D22)*'Supuestos Generales'!$B$110</f>
        <v/>
      </c>
      <c r="E22" s="754">
        <f>SUM(OFFSET(Onboarding!$B6,0,MAX(0,COLUMN(E3)-COLUMN($B$3)-'Supuestos Generales'!$B$111+1),1,MIN(COLUMN(E3)-COLUMN($B$3)+1,'Supuestos Generales'!$B$111)))*'Supuestos Generales'!$B$99*('Supuestos Generales'!$B$26*'Supuestos Generales'!$B$19*'Supuestos Generales'!$B$20+'Supuestos Generales'!$B$27*'Supuestos Generales'!$B$19*'Supuestos Generales'!$B$20*Onboarding!E22)*'Supuestos Generales'!$B$110</f>
        <v/>
      </c>
      <c r="F22" s="754">
        <f>SUM(OFFSET(Onboarding!$B6,0,MAX(0,COLUMN(F3)-COLUMN($B$3)-'Supuestos Generales'!$B$111+1),1,MIN(COLUMN(F3)-COLUMN($B$3)+1,'Supuestos Generales'!$B$111)))*'Supuestos Generales'!$B$99*('Supuestos Generales'!$B$26*'Supuestos Generales'!$B$19*'Supuestos Generales'!$B$20+'Supuestos Generales'!$B$27*'Supuestos Generales'!$B$19*'Supuestos Generales'!$B$20*Onboarding!F22)*'Supuestos Generales'!$B$110</f>
        <v/>
      </c>
      <c r="G22" s="754">
        <f>SUM(OFFSET(Onboarding!$B6,0,MAX(0,COLUMN(G3)-COLUMN($B$3)-'Supuestos Generales'!$B$111+1),1,MIN(COLUMN(G3)-COLUMN($B$3)+1,'Supuestos Generales'!$B$111)))*'Supuestos Generales'!$B$99*('Supuestos Generales'!$B$26*'Supuestos Generales'!$B$19*'Supuestos Generales'!$B$20+'Supuestos Generales'!$B$27*'Supuestos Generales'!$B$19*'Supuestos Generales'!$B$20*Onboarding!G22)*'Supuestos Generales'!$B$110</f>
        <v/>
      </c>
      <c r="H22" s="754">
        <f>SUM(OFFSET(Onboarding!$B6,0,MAX(0,COLUMN(H3)-COLUMN($B$3)-'Supuestos Generales'!$B$111+1),1,MIN(COLUMN(H3)-COLUMN($B$3)+1,'Supuestos Generales'!$B$111)))*'Supuestos Generales'!$B$99*('Supuestos Generales'!$B$26*'Supuestos Generales'!$B$19*'Supuestos Generales'!$B$20+'Supuestos Generales'!$B$27*'Supuestos Generales'!$B$19*'Supuestos Generales'!$B$20*Onboarding!H22)*'Supuestos Generales'!$B$110</f>
        <v/>
      </c>
      <c r="I22" s="754">
        <f>SUM(OFFSET(Onboarding!$B6,0,MAX(0,COLUMN(I3)-COLUMN($B$3)-'Supuestos Generales'!$B$111+1),1,MIN(COLUMN(I3)-COLUMN($B$3)+1,'Supuestos Generales'!$B$111)))*'Supuestos Generales'!$B$99*('Supuestos Generales'!$B$26*'Supuestos Generales'!$B$19*'Supuestos Generales'!$B$20+'Supuestos Generales'!$B$27*'Supuestos Generales'!$B$19*'Supuestos Generales'!$B$20*Onboarding!I22)*'Supuestos Generales'!$B$110</f>
        <v/>
      </c>
      <c r="J22" s="754">
        <f>SUM(OFFSET(Onboarding!$B6,0,MAX(0,COLUMN(J3)-COLUMN($B$3)-'Supuestos Generales'!$B$111+1),1,MIN(COLUMN(J3)-COLUMN($B$3)+1,'Supuestos Generales'!$B$111)))*'Supuestos Generales'!$B$99*('Supuestos Generales'!$B$26*'Supuestos Generales'!$B$19*'Supuestos Generales'!$B$20+'Supuestos Generales'!$B$27*'Supuestos Generales'!$B$19*'Supuestos Generales'!$B$20*Onboarding!J22)*'Supuestos Generales'!$B$110</f>
        <v/>
      </c>
      <c r="K22" s="754">
        <f>SUM(OFFSET(Onboarding!$B6,0,MAX(0,COLUMN(K3)-COLUMN($B$3)-'Supuestos Generales'!$B$111+1),1,MIN(COLUMN(K3)-COLUMN($B$3)+1,'Supuestos Generales'!$B$111)))*'Supuestos Generales'!$B$99*('Supuestos Generales'!$B$26*'Supuestos Generales'!$B$19*'Supuestos Generales'!$B$20+'Supuestos Generales'!$B$27*'Supuestos Generales'!$B$19*'Supuestos Generales'!$B$20*Onboarding!K22)*'Supuestos Generales'!$B$110</f>
        <v/>
      </c>
      <c r="L22" s="754">
        <f>SUM(OFFSET(Onboarding!$B6,0,MAX(0,COLUMN(L3)-COLUMN($B$3)-'Supuestos Generales'!$B$111+1),1,MIN(COLUMN(L3)-COLUMN($B$3)+1,'Supuestos Generales'!$B$111)))*'Supuestos Generales'!$B$99*('Supuestos Generales'!$B$26*'Supuestos Generales'!$B$19*'Supuestos Generales'!$B$20+'Supuestos Generales'!$B$27*'Supuestos Generales'!$B$19*'Supuestos Generales'!$B$20*Onboarding!L22)*'Supuestos Generales'!$B$110</f>
        <v/>
      </c>
      <c r="M22" s="754">
        <f>SUM(OFFSET(Onboarding!$B6,0,MAX(0,COLUMN(M3)-COLUMN($B$3)-'Supuestos Generales'!$B$111+1),1,MIN(COLUMN(M3)-COLUMN($B$3)+1,'Supuestos Generales'!$B$111)))*'Supuestos Generales'!$B$99*('Supuestos Generales'!$B$26*'Supuestos Generales'!$B$19*'Supuestos Generales'!$B$20+'Supuestos Generales'!$B$27*'Supuestos Generales'!$B$19*'Supuestos Generales'!$B$20*Onboarding!M22)*'Supuestos Generales'!$B$110</f>
        <v/>
      </c>
      <c r="N22" s="754">
        <f>SUM(OFFSET(Onboarding!$B6,0,MAX(0,COLUMN(N3)-COLUMN($B$3)-'Supuestos Generales'!$B$111+1),1,MIN(COLUMN(N3)-COLUMN($B$3)+1,'Supuestos Generales'!$B$111)))*'Supuestos Generales'!$B$99*('Supuestos Generales'!$B$26*'Supuestos Generales'!$B$19*'Supuestos Generales'!$B$20+'Supuestos Generales'!$B$27*'Supuestos Generales'!$B$19*'Supuestos Generales'!$B$20*Onboarding!N22)*'Supuestos Generales'!$B$110</f>
        <v/>
      </c>
      <c r="O22" s="754">
        <f>SUM(OFFSET(Onboarding!$B6,0,MAX(0,COLUMN(O3)-COLUMN($B$3)-'Supuestos Generales'!$B$111+1),1,MIN(COLUMN(O3)-COLUMN($B$3)+1,'Supuestos Generales'!$B$111)))*'Supuestos Generales'!$B$99*('Supuestos Generales'!$B$26*'Supuestos Generales'!$B$19*'Supuestos Generales'!$B$20+'Supuestos Generales'!$B$27*'Supuestos Generales'!$B$19*'Supuestos Generales'!$B$20*Onboarding!O22)*'Supuestos Generales'!$B$110</f>
        <v/>
      </c>
      <c r="P22" s="754">
        <f>SUM(OFFSET(Onboarding!$B6,0,MAX(0,COLUMN(P3)-COLUMN($B$3)-'Supuestos Generales'!$B$111+1),1,MIN(COLUMN(P3)-COLUMN($B$3)+1,'Supuestos Generales'!$B$111)))*'Supuestos Generales'!$B$99*('Supuestos Generales'!$B$26*'Supuestos Generales'!$B$19*'Supuestos Generales'!$B$20+'Supuestos Generales'!$B$27*'Supuestos Generales'!$B$19*'Supuestos Generales'!$B$20*Onboarding!P22)*'Supuestos Generales'!$B$110</f>
        <v/>
      </c>
      <c r="Q22" s="754">
        <f>SUM(OFFSET(Onboarding!$B6,0,MAX(0,COLUMN(Q3)-COLUMN($B$3)-'Supuestos Generales'!$B$111+1),1,MIN(COLUMN(Q3)-COLUMN($B$3)+1,'Supuestos Generales'!$B$111)))*'Supuestos Generales'!$B$99*('Supuestos Generales'!$B$26*'Supuestos Generales'!$B$19*'Supuestos Generales'!$B$20+'Supuestos Generales'!$B$27*'Supuestos Generales'!$B$19*'Supuestos Generales'!$B$20*Onboarding!Q22)*'Supuestos Generales'!$B$110</f>
        <v/>
      </c>
      <c r="R22" s="754">
        <f>SUM(OFFSET(Onboarding!$B6,0,MAX(0,COLUMN(R3)-COLUMN($B$3)-'Supuestos Generales'!$B$111+1),1,MIN(COLUMN(R3)-COLUMN($B$3)+1,'Supuestos Generales'!$B$111)))*'Supuestos Generales'!$B$99*('Supuestos Generales'!$B$26*'Supuestos Generales'!$B$19*'Supuestos Generales'!$B$20+'Supuestos Generales'!$B$27*'Supuestos Generales'!$B$19*'Supuestos Generales'!$B$20*Onboarding!R22)*'Supuestos Generales'!$B$110</f>
        <v/>
      </c>
      <c r="S22" s="754">
        <f>SUM(OFFSET(Onboarding!$B6,0,MAX(0,COLUMN(S3)-COLUMN($B$3)-'Supuestos Generales'!$B$111+1),1,MIN(COLUMN(S3)-COLUMN($B$3)+1,'Supuestos Generales'!$B$111)))*'Supuestos Generales'!$B$99*('Supuestos Generales'!$B$26*'Supuestos Generales'!$B$19*'Supuestos Generales'!$B$20+'Supuestos Generales'!$B$27*'Supuestos Generales'!$B$19*'Supuestos Generales'!$B$20*Onboarding!S22)*'Supuestos Generales'!$B$110</f>
        <v/>
      </c>
      <c r="T22" s="754">
        <f>SUM(OFFSET(Onboarding!$B6,0,MAX(0,COLUMN(T3)-COLUMN($B$3)-'Supuestos Generales'!$B$111+1),1,MIN(COLUMN(T3)-COLUMN($B$3)+1,'Supuestos Generales'!$B$111)))*'Supuestos Generales'!$B$99*('Supuestos Generales'!$B$26*'Supuestos Generales'!$B$19*'Supuestos Generales'!$B$20+'Supuestos Generales'!$B$27*'Supuestos Generales'!$B$19*'Supuestos Generales'!$B$20*Onboarding!T22)*'Supuestos Generales'!$B$110</f>
        <v/>
      </c>
      <c r="U22" s="754">
        <f>SUM(OFFSET(Onboarding!$B6,0,MAX(0,COLUMN(U3)-COLUMN($B$3)-'Supuestos Generales'!$B$111+1),1,MIN(COLUMN(U3)-COLUMN($B$3)+1,'Supuestos Generales'!$B$111)))*'Supuestos Generales'!$B$99*('Supuestos Generales'!$B$26*'Supuestos Generales'!$B$19*'Supuestos Generales'!$B$20+'Supuestos Generales'!$B$27*'Supuestos Generales'!$B$19*'Supuestos Generales'!$B$20*Onboarding!U22)*'Supuestos Generales'!$B$110</f>
        <v/>
      </c>
      <c r="V22" s="754">
        <f>SUM(OFFSET(Onboarding!$B6,0,MAX(0,COLUMN(V3)-COLUMN($B$3)-'Supuestos Generales'!$B$111+1),1,MIN(COLUMN(V3)-COLUMN($B$3)+1,'Supuestos Generales'!$B$111)))*'Supuestos Generales'!$B$99*('Supuestos Generales'!$B$26*'Supuestos Generales'!$B$19*'Supuestos Generales'!$B$20+'Supuestos Generales'!$B$27*'Supuestos Generales'!$B$19*'Supuestos Generales'!$B$20*Onboarding!V22)*'Supuestos Generales'!$B$110</f>
        <v/>
      </c>
      <c r="W22" s="754">
        <f>SUM(OFFSET(Onboarding!$B6,0,MAX(0,COLUMN(W3)-COLUMN($B$3)-'Supuestos Generales'!$B$111+1),1,MIN(COLUMN(W3)-COLUMN($B$3)+1,'Supuestos Generales'!$B$111)))*'Supuestos Generales'!$B$99*('Supuestos Generales'!$B$26*'Supuestos Generales'!$B$19*'Supuestos Generales'!$B$20+'Supuestos Generales'!$B$27*'Supuestos Generales'!$B$19*'Supuestos Generales'!$B$20*Onboarding!W22)*'Supuestos Generales'!$B$110</f>
        <v/>
      </c>
      <c r="X22" s="754">
        <f>SUM(OFFSET(Onboarding!$B6,0,MAX(0,COLUMN(X3)-COLUMN($B$3)-'Supuestos Generales'!$B$111+1),1,MIN(COLUMN(X3)-COLUMN($B$3)+1,'Supuestos Generales'!$B$111)))*'Supuestos Generales'!$B$99*('Supuestos Generales'!$B$26*'Supuestos Generales'!$B$19*'Supuestos Generales'!$B$20+'Supuestos Generales'!$B$27*'Supuestos Generales'!$B$19*'Supuestos Generales'!$B$20*Onboarding!X22)*'Supuestos Generales'!$B$110</f>
        <v/>
      </c>
      <c r="Y22" s="754">
        <f>SUM(OFFSET(Onboarding!$B6,0,MAX(0,COLUMN(Y3)-COLUMN($B$3)-'Supuestos Generales'!$B$111+1),1,MIN(COLUMN(Y3)-COLUMN($B$3)+1,'Supuestos Generales'!$B$111)))*'Supuestos Generales'!$B$99*('Supuestos Generales'!$B$26*'Supuestos Generales'!$B$19*'Supuestos Generales'!$B$20+'Supuestos Generales'!$B$27*'Supuestos Generales'!$B$19*'Supuestos Generales'!$B$20*Onboarding!Y22)*'Supuestos Generales'!$B$110</f>
        <v/>
      </c>
      <c r="Z22" s="754">
        <f>SUM(OFFSET(Onboarding!$B6,0,MAX(0,COLUMN(Z3)-COLUMN($B$3)-'Supuestos Generales'!$B$111+1),1,MIN(COLUMN(Z3)-COLUMN($B$3)+1,'Supuestos Generales'!$B$111)))*'Supuestos Generales'!$B$99*('Supuestos Generales'!$B$26*'Supuestos Generales'!$B$19*'Supuestos Generales'!$B$20+'Supuestos Generales'!$B$27*'Supuestos Generales'!$B$19*'Supuestos Generales'!$B$20*Onboarding!Z22)*'Supuestos Generales'!$B$110</f>
        <v/>
      </c>
      <c r="AA22" s="754">
        <f>SUM(OFFSET(Onboarding!$B6,0,MAX(0,COLUMN(AA3)-COLUMN($B$3)-'Supuestos Generales'!$B$111+1),1,MIN(COLUMN(AA3)-COLUMN($B$3)+1,'Supuestos Generales'!$B$111)))*'Supuestos Generales'!$B$99*('Supuestos Generales'!$B$26*'Supuestos Generales'!$B$19*'Supuestos Generales'!$B$20+'Supuestos Generales'!$B$27*'Supuestos Generales'!$B$19*'Supuestos Generales'!$B$20*Onboarding!AA22)*'Supuestos Generales'!$B$110</f>
        <v/>
      </c>
      <c r="AB22" s="754">
        <f>SUM(OFFSET(Onboarding!$B6,0,MAX(0,COLUMN(AB3)-COLUMN($B$3)-'Supuestos Generales'!$B$111+1),1,MIN(COLUMN(AB3)-COLUMN($B$3)+1,'Supuestos Generales'!$B$111)))*'Supuestos Generales'!$B$99*('Supuestos Generales'!$B$26*'Supuestos Generales'!$B$19*'Supuestos Generales'!$B$20+'Supuestos Generales'!$B$27*'Supuestos Generales'!$B$19*'Supuestos Generales'!$B$20*Onboarding!AB22)*'Supuestos Generales'!$B$110</f>
        <v/>
      </c>
      <c r="AC22" s="754">
        <f>SUM(OFFSET(Onboarding!$B6,0,MAX(0,COLUMN(AC3)-COLUMN($B$3)-'Supuestos Generales'!$B$111+1),1,MIN(COLUMN(AC3)-COLUMN($B$3)+1,'Supuestos Generales'!$B$111)))*'Supuestos Generales'!$B$99*('Supuestos Generales'!$B$26*'Supuestos Generales'!$B$19*'Supuestos Generales'!$B$20+'Supuestos Generales'!$B$27*'Supuestos Generales'!$B$19*'Supuestos Generales'!$B$20*Onboarding!AC22)*'Supuestos Generales'!$B$110</f>
        <v/>
      </c>
      <c r="AD22" s="754">
        <f>SUM(OFFSET(Onboarding!$B6,0,MAX(0,COLUMN(AD3)-COLUMN($B$3)-'Supuestos Generales'!$B$111+1),1,MIN(COLUMN(AD3)-COLUMN($B$3)+1,'Supuestos Generales'!$B$111)))*'Supuestos Generales'!$B$99*('Supuestos Generales'!$B$26*'Supuestos Generales'!$B$19*'Supuestos Generales'!$B$20+'Supuestos Generales'!$B$27*'Supuestos Generales'!$B$19*'Supuestos Generales'!$B$20*Onboarding!AD22)*'Supuestos Generales'!$B$110</f>
        <v/>
      </c>
      <c r="AE22" s="754">
        <f>SUM(OFFSET(Onboarding!$B6,0,MAX(0,COLUMN(AE3)-COLUMN($B$3)-'Supuestos Generales'!$B$111+1),1,MIN(COLUMN(AE3)-COLUMN($B$3)+1,'Supuestos Generales'!$B$111)))*'Supuestos Generales'!$B$99*('Supuestos Generales'!$B$26*'Supuestos Generales'!$B$19*'Supuestos Generales'!$B$20+'Supuestos Generales'!$B$27*'Supuestos Generales'!$B$19*'Supuestos Generales'!$B$20*Onboarding!AE22)*'Supuestos Generales'!$B$110</f>
        <v/>
      </c>
      <c r="AF22" s="754">
        <f>SUM(OFFSET(Onboarding!$B6,0,MAX(0,COLUMN(AF3)-COLUMN($B$3)-'Supuestos Generales'!$B$111+1),1,MIN(COLUMN(AF3)-COLUMN($B$3)+1,'Supuestos Generales'!$B$111)))*'Supuestos Generales'!$B$99*('Supuestos Generales'!$B$26*'Supuestos Generales'!$B$19*'Supuestos Generales'!$B$20+'Supuestos Generales'!$B$27*'Supuestos Generales'!$B$19*'Supuestos Generales'!$B$20*Onboarding!AF22)*'Supuestos Generales'!$B$110</f>
        <v/>
      </c>
      <c r="AG22" s="754">
        <f>SUM(OFFSET(Onboarding!$B6,0,MAX(0,COLUMN(AG3)-COLUMN($B$3)-'Supuestos Generales'!$B$111+1),1,MIN(COLUMN(AG3)-COLUMN($B$3)+1,'Supuestos Generales'!$B$111)))*'Supuestos Generales'!$B$99*('Supuestos Generales'!$B$26*'Supuestos Generales'!$B$19*'Supuestos Generales'!$B$20+'Supuestos Generales'!$B$27*'Supuestos Generales'!$B$19*'Supuestos Generales'!$B$20*Onboarding!AG22)*'Supuestos Generales'!$B$110</f>
        <v/>
      </c>
      <c r="AH22" s="754">
        <f>SUM(OFFSET(Onboarding!$B6,0,MAX(0,COLUMN(AH3)-COLUMN($B$3)-'Supuestos Generales'!$B$111+1),1,MIN(COLUMN(AH3)-COLUMN($B$3)+1,'Supuestos Generales'!$B$111)))*'Supuestos Generales'!$B$99*('Supuestos Generales'!$B$26*'Supuestos Generales'!$B$19*'Supuestos Generales'!$B$20+'Supuestos Generales'!$B$27*'Supuestos Generales'!$B$19*'Supuestos Generales'!$B$20*Onboarding!AH22)*'Supuestos Generales'!$B$110</f>
        <v/>
      </c>
      <c r="AI22" s="754">
        <f>SUM(OFFSET(Onboarding!$B6,0,MAX(0,COLUMN(AI3)-COLUMN($B$3)-'Supuestos Generales'!$B$111+1),1,MIN(COLUMN(AI3)-COLUMN($B$3)+1,'Supuestos Generales'!$B$111)))*'Supuestos Generales'!$B$99*('Supuestos Generales'!$B$26*'Supuestos Generales'!$B$19*'Supuestos Generales'!$B$20+'Supuestos Generales'!$B$27*'Supuestos Generales'!$B$19*'Supuestos Generales'!$B$20*Onboarding!AI22)*'Supuestos Generales'!$B$110</f>
        <v/>
      </c>
      <c r="AJ22" s="754">
        <f>SUM(OFFSET(Onboarding!$B6,0,MAX(0,COLUMN(AJ3)-COLUMN($B$3)-'Supuestos Generales'!$B$111+1),1,MIN(COLUMN(AJ3)-COLUMN($B$3)+1,'Supuestos Generales'!$B$111)))*'Supuestos Generales'!$B$99*('Supuestos Generales'!$B$26*'Supuestos Generales'!$B$19*'Supuestos Generales'!$B$20+'Supuestos Generales'!$B$27*'Supuestos Generales'!$B$19*'Supuestos Generales'!$B$20*Onboarding!AJ22)*'Supuestos Generales'!$B$110</f>
        <v/>
      </c>
      <c r="AK22" s="754">
        <f>SUM(OFFSET(Onboarding!$B6,0,MAX(0,COLUMN(AK3)-COLUMN($B$3)-'Supuestos Generales'!$B$111+1),1,MIN(COLUMN(AK3)-COLUMN($B$3)+1,'Supuestos Generales'!$B$111)))*'Supuestos Generales'!$B$99*('Supuestos Generales'!$B$26*'Supuestos Generales'!$B$19*'Supuestos Generales'!$B$20+'Supuestos Generales'!$B$27*'Supuestos Generales'!$B$19*'Supuestos Generales'!$B$20*Onboarding!AK22)*'Supuestos Generales'!$B$110</f>
        <v/>
      </c>
      <c r="AL22" s="754">
        <f>SUM(OFFSET(Onboarding!$B6,0,MAX(0,COLUMN(AL3)-COLUMN($B$3)-'Supuestos Generales'!$B$111+1),1,MIN(COLUMN(AL3)-COLUMN($B$3)+1,'Supuestos Generales'!$B$111)))*'Supuestos Generales'!$B$99*('Supuestos Generales'!$B$26*'Supuestos Generales'!$B$19*'Supuestos Generales'!$B$20+'Supuestos Generales'!$B$27*'Supuestos Generales'!$B$19*'Supuestos Generales'!$B$20*Onboarding!AL22)*'Supuestos Generales'!$B$110</f>
        <v/>
      </c>
      <c r="AM22" s="754">
        <f>SUM(OFFSET(Onboarding!$B6,0,MAX(0,COLUMN(AM3)-COLUMN($B$3)-'Supuestos Generales'!$B$111+1),1,MIN(COLUMN(AM3)-COLUMN($B$3)+1,'Supuestos Generales'!$B$111)))*'Supuestos Generales'!$B$99*('Supuestos Generales'!$B$26*'Supuestos Generales'!$B$19*'Supuestos Generales'!$B$20+'Supuestos Generales'!$B$27*'Supuestos Generales'!$B$19*'Supuestos Generales'!$B$20*Onboarding!AM22)*'Supuestos Generales'!$B$110</f>
        <v/>
      </c>
      <c r="AN22" s="754">
        <f>SUM(OFFSET(Onboarding!$B6,0,MAX(0,COLUMN(AN3)-COLUMN($B$3)-'Supuestos Generales'!$B$111+1),1,MIN(COLUMN(AN3)-COLUMN($B$3)+1,'Supuestos Generales'!$B$111)))*'Supuestos Generales'!$B$99*('Supuestos Generales'!$B$26*'Supuestos Generales'!$B$19*'Supuestos Generales'!$B$20+'Supuestos Generales'!$B$27*'Supuestos Generales'!$B$19*'Supuestos Generales'!$B$20*Onboarding!AN22)*'Supuestos Generales'!$B$110</f>
        <v/>
      </c>
      <c r="AO22" s="754">
        <f>SUM(OFFSET(Onboarding!$B6,0,MAX(0,COLUMN(AO3)-COLUMN($B$3)-'Supuestos Generales'!$B$111+1),1,MIN(COLUMN(AO3)-COLUMN($B$3)+1,'Supuestos Generales'!$B$111)))*'Supuestos Generales'!$B$99*('Supuestos Generales'!$B$26*'Supuestos Generales'!$B$19*'Supuestos Generales'!$B$20+'Supuestos Generales'!$B$27*'Supuestos Generales'!$B$19*'Supuestos Generales'!$B$20*Onboarding!AO22)*'Supuestos Generales'!$B$110</f>
        <v/>
      </c>
      <c r="AP22" s="754">
        <f>SUM(OFFSET(Onboarding!$B6,0,MAX(0,COLUMN(AP3)-COLUMN($B$3)-'Supuestos Generales'!$B$111+1),1,MIN(COLUMN(AP3)-COLUMN($B$3)+1,'Supuestos Generales'!$B$111)))*'Supuestos Generales'!$B$99*('Supuestos Generales'!$B$26*'Supuestos Generales'!$B$19*'Supuestos Generales'!$B$20+'Supuestos Generales'!$B$27*'Supuestos Generales'!$B$19*'Supuestos Generales'!$B$20*Onboarding!AP22)*'Supuestos Generales'!$B$110</f>
        <v/>
      </c>
      <c r="AQ22" s="754">
        <f>SUM(OFFSET(Onboarding!$B6,0,MAX(0,COLUMN(AQ3)-COLUMN($B$3)-'Supuestos Generales'!$B$111+1),1,MIN(COLUMN(AQ3)-COLUMN($B$3)+1,'Supuestos Generales'!$B$111)))*'Supuestos Generales'!$B$99*('Supuestos Generales'!$B$26*'Supuestos Generales'!$B$19*'Supuestos Generales'!$B$20+'Supuestos Generales'!$B$27*'Supuestos Generales'!$B$19*'Supuestos Generales'!$B$20*Onboarding!AQ22)*'Supuestos Generales'!$B$110</f>
        <v/>
      </c>
      <c r="AR22" s="754">
        <f>SUM(OFFSET(Onboarding!$B6,0,MAX(0,COLUMN(AR3)-COLUMN($B$3)-'Supuestos Generales'!$B$111+1),1,MIN(COLUMN(AR3)-COLUMN($B$3)+1,'Supuestos Generales'!$B$111)))*'Supuestos Generales'!$B$99*('Supuestos Generales'!$B$26*'Supuestos Generales'!$B$19*'Supuestos Generales'!$B$20+'Supuestos Generales'!$B$27*'Supuestos Generales'!$B$19*'Supuestos Generales'!$B$20*Onboarding!AR22)*'Supuestos Generales'!$B$110</f>
        <v/>
      </c>
      <c r="AS22" s="754">
        <f>SUM(OFFSET(Onboarding!$B6,0,MAX(0,COLUMN(AS3)-COLUMN($B$3)-'Supuestos Generales'!$B$111+1),1,MIN(COLUMN(AS3)-COLUMN($B$3)+1,'Supuestos Generales'!$B$111)))*'Supuestos Generales'!$B$99*('Supuestos Generales'!$B$26*'Supuestos Generales'!$B$19*'Supuestos Generales'!$B$20+'Supuestos Generales'!$B$27*'Supuestos Generales'!$B$19*'Supuestos Generales'!$B$20*Onboarding!AS22)*'Supuestos Generales'!$B$110</f>
        <v/>
      </c>
      <c r="AT22" s="754">
        <f>SUM(OFFSET(Onboarding!$B6,0,MAX(0,COLUMN(AT3)-COLUMN($B$3)-'Supuestos Generales'!$B$111+1),1,MIN(COLUMN(AT3)-COLUMN($B$3)+1,'Supuestos Generales'!$B$111)))*'Supuestos Generales'!$B$99*('Supuestos Generales'!$B$26*'Supuestos Generales'!$B$19*'Supuestos Generales'!$B$20+'Supuestos Generales'!$B$27*'Supuestos Generales'!$B$19*'Supuestos Generales'!$B$20*Onboarding!AT22)*'Supuestos Generales'!$B$110</f>
        <v/>
      </c>
      <c r="AU22" s="754">
        <f>SUM(OFFSET(Onboarding!$B6,0,MAX(0,COLUMN(AU3)-COLUMN($B$3)-'Supuestos Generales'!$B$111+1),1,MIN(COLUMN(AU3)-COLUMN($B$3)+1,'Supuestos Generales'!$B$111)))*'Supuestos Generales'!$B$99*('Supuestos Generales'!$B$26*'Supuestos Generales'!$B$19*'Supuestos Generales'!$B$20+'Supuestos Generales'!$B$27*'Supuestos Generales'!$B$19*'Supuestos Generales'!$B$20*Onboarding!AU22)*'Supuestos Generales'!$B$110</f>
        <v/>
      </c>
      <c r="AV22" s="754">
        <f>SUM(OFFSET(Onboarding!$B6,0,MAX(0,COLUMN(AV3)-COLUMN($B$3)-'Supuestos Generales'!$B$111+1),1,MIN(COLUMN(AV3)-COLUMN($B$3)+1,'Supuestos Generales'!$B$111)))*'Supuestos Generales'!$B$99*('Supuestos Generales'!$B$26*'Supuestos Generales'!$B$19*'Supuestos Generales'!$B$20+'Supuestos Generales'!$B$27*'Supuestos Generales'!$B$19*'Supuestos Generales'!$B$20*Onboarding!AV22)*'Supuestos Generales'!$B$110</f>
        <v/>
      </c>
      <c r="AW22" s="754">
        <f>SUM(OFFSET(Onboarding!$B6,0,MAX(0,COLUMN(AW3)-COLUMN($B$3)-'Supuestos Generales'!$B$111+1),1,MIN(COLUMN(AW3)-COLUMN($B$3)+1,'Supuestos Generales'!$B$111)))*'Supuestos Generales'!$B$99*('Supuestos Generales'!$B$26*'Supuestos Generales'!$B$19*'Supuestos Generales'!$B$20+'Supuestos Generales'!$B$27*'Supuestos Generales'!$B$19*'Supuestos Generales'!$B$20*Onboarding!AW22)*'Supuestos Generales'!$B$110</f>
        <v/>
      </c>
      <c r="AX22" s="754">
        <f>SUM(OFFSET(Onboarding!$B6,0,MAX(0,COLUMN(AX3)-COLUMN($B$3)-'Supuestos Generales'!$B$111+1),1,MIN(COLUMN(AX3)-COLUMN($B$3)+1,'Supuestos Generales'!$B$111)))*'Supuestos Generales'!$B$99*('Supuestos Generales'!$B$26*'Supuestos Generales'!$B$19*'Supuestos Generales'!$B$20+'Supuestos Generales'!$B$27*'Supuestos Generales'!$B$19*'Supuestos Generales'!$B$20*Onboarding!AX22)*'Supuestos Generales'!$B$110</f>
        <v/>
      </c>
      <c r="AY22" s="754">
        <f>SUM(OFFSET(Onboarding!$B6,0,MAX(0,COLUMN(AY3)-COLUMN($B$3)-'Supuestos Generales'!$B$111+1),1,MIN(COLUMN(AY3)-COLUMN($B$3)+1,'Supuestos Generales'!$B$111)))*'Supuestos Generales'!$B$99*('Supuestos Generales'!$B$26*'Supuestos Generales'!$B$19*'Supuestos Generales'!$B$20+'Supuestos Generales'!$B$27*'Supuestos Generales'!$B$19*'Supuestos Generales'!$B$20*Onboarding!AY22)*'Supuestos Generales'!$B$110</f>
        <v/>
      </c>
      <c r="AZ22" s="754">
        <f>SUM(OFFSET(Onboarding!$B6,0,MAX(0,COLUMN(AZ3)-COLUMN($B$3)-'Supuestos Generales'!$B$111+1),1,MIN(COLUMN(AZ3)-COLUMN($B$3)+1,'Supuestos Generales'!$B$111)))*'Supuestos Generales'!$B$99*('Supuestos Generales'!$B$26*'Supuestos Generales'!$B$19*'Supuestos Generales'!$B$20+'Supuestos Generales'!$B$27*'Supuestos Generales'!$B$19*'Supuestos Generales'!$B$20*Onboarding!AZ22)*'Supuestos Generales'!$B$110</f>
        <v/>
      </c>
      <c r="BA22" s="754">
        <f>SUM(OFFSET(Onboarding!$B6,0,MAX(0,COLUMN(BA3)-COLUMN($B$3)-'Supuestos Generales'!$B$111+1),1,MIN(COLUMN(BA3)-COLUMN($B$3)+1,'Supuestos Generales'!$B$111)))*'Supuestos Generales'!$B$99*('Supuestos Generales'!$B$26*'Supuestos Generales'!$B$19*'Supuestos Generales'!$B$20+'Supuestos Generales'!$B$27*'Supuestos Generales'!$B$19*'Supuestos Generales'!$B$20*Onboarding!BA22)*'Supuestos Generales'!$B$110</f>
        <v/>
      </c>
      <c r="BB22" s="754">
        <f>SUM(OFFSET(Onboarding!$B6,0,MAX(0,COLUMN(BB3)-COLUMN($B$3)-'Supuestos Generales'!$B$111+1),1,MIN(COLUMN(BB3)-COLUMN($B$3)+1,'Supuestos Generales'!$B$111)))*'Supuestos Generales'!$B$99*('Supuestos Generales'!$B$26*'Supuestos Generales'!$B$19*'Supuestos Generales'!$B$20+'Supuestos Generales'!$B$27*'Supuestos Generales'!$B$19*'Supuestos Generales'!$B$20*Onboarding!BB22)*'Supuestos Generales'!$B$110</f>
        <v/>
      </c>
      <c r="BC22" s="754">
        <f>SUM(OFFSET(Onboarding!$B6,0,MAX(0,COLUMN(BC3)-COLUMN($B$3)-'Supuestos Generales'!$B$111+1),1,MIN(COLUMN(BC3)-COLUMN($B$3)+1,'Supuestos Generales'!$B$111)))*'Supuestos Generales'!$B$99*('Supuestos Generales'!$B$26*'Supuestos Generales'!$B$19*'Supuestos Generales'!$B$20+'Supuestos Generales'!$B$27*'Supuestos Generales'!$B$19*'Supuestos Generales'!$B$20*Onboarding!BC22)*'Supuestos Generales'!$B$110</f>
        <v/>
      </c>
      <c r="BD22" s="754">
        <f>SUM(OFFSET(Onboarding!$B6,0,MAX(0,COLUMN(BD3)-COLUMN($B$3)-'Supuestos Generales'!$B$111+1),1,MIN(COLUMN(BD3)-COLUMN($B$3)+1,'Supuestos Generales'!$B$111)))*'Supuestos Generales'!$B$99*('Supuestos Generales'!$B$26*'Supuestos Generales'!$B$19*'Supuestos Generales'!$B$20+'Supuestos Generales'!$B$27*'Supuestos Generales'!$B$19*'Supuestos Generales'!$B$20*Onboarding!BD22)*'Supuestos Generales'!$B$110</f>
        <v/>
      </c>
      <c r="BE22" s="754">
        <f>SUM(OFFSET(Onboarding!$B6,0,MAX(0,COLUMN(BE3)-COLUMN($B$3)-'Supuestos Generales'!$B$111+1),1,MIN(COLUMN(BE3)-COLUMN($B$3)+1,'Supuestos Generales'!$B$111)))*'Supuestos Generales'!$B$99*('Supuestos Generales'!$B$26*'Supuestos Generales'!$B$19*'Supuestos Generales'!$B$20+'Supuestos Generales'!$B$27*'Supuestos Generales'!$B$19*'Supuestos Generales'!$B$20*Onboarding!BE22)*'Supuestos Generales'!$B$110</f>
        <v/>
      </c>
      <c r="BF22" s="754">
        <f>SUM(OFFSET(Onboarding!$B6,0,MAX(0,COLUMN(BF3)-COLUMN($B$3)-'Supuestos Generales'!$B$111+1),1,MIN(COLUMN(BF3)-COLUMN($B$3)+1,'Supuestos Generales'!$B$111)))*'Supuestos Generales'!$B$99*('Supuestos Generales'!$B$26*'Supuestos Generales'!$B$19*'Supuestos Generales'!$B$20+'Supuestos Generales'!$B$27*'Supuestos Generales'!$B$19*'Supuestos Generales'!$B$20*Onboarding!BF22)*'Supuestos Generales'!$B$110</f>
        <v/>
      </c>
      <c r="BG22" s="754">
        <f>SUM(OFFSET(Onboarding!$B6,0,MAX(0,COLUMN(BG3)-COLUMN($B$3)-'Supuestos Generales'!$B$111+1),1,MIN(COLUMN(BG3)-COLUMN($B$3)+1,'Supuestos Generales'!$B$111)))*'Supuestos Generales'!$B$99*('Supuestos Generales'!$B$26*'Supuestos Generales'!$B$19*'Supuestos Generales'!$B$20+'Supuestos Generales'!$B$27*'Supuestos Generales'!$B$19*'Supuestos Generales'!$B$20*Onboarding!BG22)*'Supuestos Generales'!$B$110</f>
        <v/>
      </c>
      <c r="BH22" s="754">
        <f>SUM(OFFSET(Onboarding!$B6,0,MAX(0,COLUMN(BH3)-COLUMN($B$3)-'Supuestos Generales'!$B$111+1),1,MIN(COLUMN(BH3)-COLUMN($B$3)+1,'Supuestos Generales'!$B$111)))*'Supuestos Generales'!$B$99*('Supuestos Generales'!$B$26*'Supuestos Generales'!$B$19*'Supuestos Generales'!$B$20+'Supuestos Generales'!$B$27*'Supuestos Generales'!$B$19*'Supuestos Generales'!$B$20*Onboarding!BH22)*'Supuestos Generales'!$B$110</f>
        <v/>
      </c>
      <c r="BI22" s="754">
        <f>SUM(OFFSET(Onboarding!$B6,0,MAX(0,COLUMN(BI3)-COLUMN($B$3)-'Supuestos Generales'!$B$111+1),1,MIN(COLUMN(BI3)-COLUMN($B$3)+1,'Supuestos Generales'!$B$111)))*'Supuestos Generales'!$B$99*('Supuestos Generales'!$B$26*'Supuestos Generales'!$B$19*'Supuestos Generales'!$B$20+'Supuestos Generales'!$B$27*'Supuestos Generales'!$B$19*'Supuestos Generales'!$B$20*Onboarding!BI22)*'Supuestos Generales'!$B$110</f>
        <v/>
      </c>
      <c r="BJ22" s="757">
        <f>SUM(B22:BI22)</f>
        <v/>
      </c>
    </row>
    <row r="23">
      <c r="A23" s="25" t="inlineStr">
        <is>
          <t>Total Comisiones de Venta</t>
        </is>
      </c>
      <c r="B23" s="758">
        <f>SUM(B15:B22)</f>
        <v/>
      </c>
      <c r="C23" s="758">
        <f>SUM(C15:C22)</f>
        <v/>
      </c>
      <c r="D23" s="758">
        <f>SUM(D15:D22)</f>
        <v/>
      </c>
      <c r="E23" s="758">
        <f>SUM(E15:E22)</f>
        <v/>
      </c>
      <c r="F23" s="758">
        <f>SUM(F15:F22)</f>
        <v/>
      </c>
      <c r="G23" s="758">
        <f>SUM(G15:G22)</f>
        <v/>
      </c>
      <c r="H23" s="758">
        <f>SUM(H15:H22)</f>
        <v/>
      </c>
      <c r="I23" s="758">
        <f>SUM(I15:I22)</f>
        <v/>
      </c>
      <c r="J23" s="758">
        <f>SUM(J15:J22)</f>
        <v/>
      </c>
      <c r="K23" s="758">
        <f>SUM(K15:K22)</f>
        <v/>
      </c>
      <c r="L23" s="758">
        <f>SUM(L15:L22)</f>
        <v/>
      </c>
      <c r="M23" s="758">
        <f>SUM(M15:M22)</f>
        <v/>
      </c>
      <c r="N23" s="758">
        <f>SUM(N15:N22)</f>
        <v/>
      </c>
      <c r="O23" s="758">
        <f>SUM(O15:O22)</f>
        <v/>
      </c>
      <c r="P23" s="758">
        <f>SUM(P15:P22)</f>
        <v/>
      </c>
      <c r="Q23" s="758">
        <f>SUM(Q15:Q22)</f>
        <v/>
      </c>
      <c r="R23" s="758">
        <f>SUM(R15:R22)</f>
        <v/>
      </c>
      <c r="S23" s="758">
        <f>SUM(S15:S22)</f>
        <v/>
      </c>
      <c r="T23" s="758">
        <f>SUM(T15:T22)</f>
        <v/>
      </c>
      <c r="U23" s="758">
        <f>SUM(U15:U22)</f>
        <v/>
      </c>
      <c r="V23" s="758">
        <f>SUM(V15:V22)</f>
        <v/>
      </c>
      <c r="W23" s="758">
        <f>SUM(W15:W22)</f>
        <v/>
      </c>
      <c r="X23" s="758">
        <f>SUM(X15:X22)</f>
        <v/>
      </c>
      <c r="Y23" s="758">
        <f>SUM(Y15:Y22)</f>
        <v/>
      </c>
      <c r="Z23" s="758">
        <f>SUM(Z15:Z22)</f>
        <v/>
      </c>
      <c r="AA23" s="758">
        <f>SUM(AA15:AA22)</f>
        <v/>
      </c>
      <c r="AB23" s="758">
        <f>SUM(AB15:AB22)</f>
        <v/>
      </c>
      <c r="AC23" s="758">
        <f>SUM(AC15:AC22)</f>
        <v/>
      </c>
      <c r="AD23" s="758">
        <f>SUM(AD15:AD22)</f>
        <v/>
      </c>
      <c r="AE23" s="758">
        <f>SUM(AE15:AE22)</f>
        <v/>
      </c>
      <c r="AF23" s="758">
        <f>SUM(AF15:AF22)</f>
        <v/>
      </c>
      <c r="AG23" s="758">
        <f>SUM(AG15:AG22)</f>
        <v/>
      </c>
      <c r="AH23" s="758">
        <f>SUM(AH15:AH22)</f>
        <v/>
      </c>
      <c r="AI23" s="758">
        <f>SUM(AI15:AI22)</f>
        <v/>
      </c>
      <c r="AJ23" s="758">
        <f>SUM(AJ15:AJ22)</f>
        <v/>
      </c>
      <c r="AK23" s="758">
        <f>SUM(AK15:AK22)</f>
        <v/>
      </c>
      <c r="AL23" s="758">
        <f>SUM(AL15:AL22)</f>
        <v/>
      </c>
      <c r="AM23" s="758">
        <f>SUM(AM15:AM22)</f>
        <v/>
      </c>
      <c r="AN23" s="758">
        <f>SUM(AN15:AN22)</f>
        <v/>
      </c>
      <c r="AO23" s="758">
        <f>SUM(AO15:AO22)</f>
        <v/>
      </c>
      <c r="AP23" s="758">
        <f>SUM(AP15:AP22)</f>
        <v/>
      </c>
      <c r="AQ23" s="758">
        <f>SUM(AQ15:AQ22)</f>
        <v/>
      </c>
      <c r="AR23" s="758">
        <f>SUM(AR15:AR22)</f>
        <v/>
      </c>
      <c r="AS23" s="758">
        <f>SUM(AS15:AS22)</f>
        <v/>
      </c>
      <c r="AT23" s="758">
        <f>SUM(AT15:AT22)</f>
        <v/>
      </c>
      <c r="AU23" s="758">
        <f>SUM(AU15:AU22)</f>
        <v/>
      </c>
      <c r="AV23" s="758">
        <f>SUM(AV15:AV22)</f>
        <v/>
      </c>
      <c r="AW23" s="758">
        <f>SUM(AW15:AW22)</f>
        <v/>
      </c>
      <c r="AX23" s="758">
        <f>SUM(AX15:AX22)</f>
        <v/>
      </c>
      <c r="AY23" s="758">
        <f>SUM(AY15:AY22)</f>
        <v/>
      </c>
      <c r="AZ23" s="758">
        <f>SUM(AZ15:AZ22)</f>
        <v/>
      </c>
      <c r="BA23" s="758">
        <f>SUM(BA15:BA22)</f>
        <v/>
      </c>
      <c r="BB23" s="758">
        <f>SUM(BB15:BB22)</f>
        <v/>
      </c>
      <c r="BC23" s="758">
        <f>SUM(BC15:BC22)</f>
        <v/>
      </c>
      <c r="BD23" s="758">
        <f>SUM(BD15:BD22)</f>
        <v/>
      </c>
      <c r="BE23" s="758">
        <f>SUM(BE15:BE22)</f>
        <v/>
      </c>
      <c r="BF23" s="758">
        <f>SUM(BF15:BF22)</f>
        <v/>
      </c>
      <c r="BG23" s="758">
        <f>SUM(BG15:BG22)</f>
        <v/>
      </c>
      <c r="BH23" s="758">
        <f>SUM(BH15:BH22)</f>
        <v/>
      </c>
      <c r="BI23" s="758">
        <f>SUM(BI15:BI22)</f>
        <v/>
      </c>
      <c r="BJ23" s="756">
        <f>SUM(B23:BI23)</f>
        <v/>
      </c>
    </row>
    <row r="25">
      <c r="A25" s="22" t="inlineStr">
        <is>
          <t>PUBLICIDAD Y MARKETING</t>
        </is>
      </c>
      <c r="B25" s="210" t="n"/>
    </row>
    <row r="26">
      <c r="A26" s="35" t="inlineStr">
        <is>
          <t>Gasto publicidad y marketing</t>
        </is>
      </c>
      <c r="B26" s="754">
        <f>IF(B$3&gt;='Supuestos Generales'!$B$114,Ingresos!B19*'Supuestos Generales'!$B$113,0)</f>
        <v/>
      </c>
      <c r="C26" s="754">
        <f>IF(C$3&gt;='Supuestos Generales'!$B$114,Ingresos!C19*'Supuestos Generales'!$B$113,0)</f>
        <v/>
      </c>
      <c r="D26" s="754">
        <f>IF(D$3&gt;='Supuestos Generales'!$B$114,Ingresos!D19*'Supuestos Generales'!$B$113,0)</f>
        <v/>
      </c>
      <c r="E26" s="754">
        <f>IF(E$3&gt;='Supuestos Generales'!$B$114,Ingresos!E19*'Supuestos Generales'!$B$113,0)</f>
        <v/>
      </c>
      <c r="F26" s="754">
        <f>IF(F$3&gt;='Supuestos Generales'!$B$114,Ingresos!F19*'Supuestos Generales'!$B$113,0)</f>
        <v/>
      </c>
      <c r="G26" s="754">
        <f>IF(G$3&gt;='Supuestos Generales'!$B$114,Ingresos!G19*'Supuestos Generales'!$B$113,0)</f>
        <v/>
      </c>
      <c r="H26" s="754">
        <f>IF(H$3&gt;='Supuestos Generales'!$B$114,Ingresos!H19*'Supuestos Generales'!$B$113,0)</f>
        <v/>
      </c>
      <c r="I26" s="754">
        <f>IF(I$3&gt;='Supuestos Generales'!$B$114,Ingresos!I19*'Supuestos Generales'!$B$113,0)</f>
        <v/>
      </c>
      <c r="J26" s="754">
        <f>IF(J$3&gt;='Supuestos Generales'!$B$114,Ingresos!J19*'Supuestos Generales'!$B$113,0)</f>
        <v/>
      </c>
      <c r="K26" s="754">
        <f>IF(K$3&gt;='Supuestos Generales'!$B$114,Ingresos!K19*'Supuestos Generales'!$B$113,0)</f>
        <v/>
      </c>
      <c r="L26" s="754">
        <f>IF(L$3&gt;='Supuestos Generales'!$B$114,Ingresos!L19*'Supuestos Generales'!$B$113,0)</f>
        <v/>
      </c>
      <c r="M26" s="754">
        <f>IF(M$3&gt;='Supuestos Generales'!$B$114,Ingresos!M19*'Supuestos Generales'!$B$113,0)</f>
        <v/>
      </c>
      <c r="N26" s="754">
        <f>IF(N$3&gt;='Supuestos Generales'!$B$114,Ingresos!N19*'Supuestos Generales'!$B$113,0)</f>
        <v/>
      </c>
      <c r="O26" s="754">
        <f>IF(O$3&gt;='Supuestos Generales'!$B$114,Ingresos!O19*'Supuestos Generales'!$B$113,0)</f>
        <v/>
      </c>
      <c r="P26" s="754">
        <f>IF(P$3&gt;='Supuestos Generales'!$B$114,Ingresos!P19*'Supuestos Generales'!$B$113,0)</f>
        <v/>
      </c>
      <c r="Q26" s="754">
        <f>IF(Q$3&gt;='Supuestos Generales'!$B$114,Ingresos!Q19*'Supuestos Generales'!$B$113,0)</f>
        <v/>
      </c>
      <c r="R26" s="754">
        <f>IF(R$3&gt;='Supuestos Generales'!$B$114,Ingresos!R19*'Supuestos Generales'!$B$113,0)</f>
        <v/>
      </c>
      <c r="S26" s="754">
        <f>IF(S$3&gt;='Supuestos Generales'!$B$114,Ingresos!S19*'Supuestos Generales'!$B$113,0)</f>
        <v/>
      </c>
      <c r="T26" s="754">
        <f>IF(T$3&gt;='Supuestos Generales'!$B$114,Ingresos!T19*'Supuestos Generales'!$B$113,0)</f>
        <v/>
      </c>
      <c r="U26" s="754">
        <f>IF(U$3&gt;='Supuestos Generales'!$B$114,Ingresos!U19*'Supuestos Generales'!$B$113,0)</f>
        <v/>
      </c>
      <c r="V26" s="754">
        <f>IF(V$3&gt;='Supuestos Generales'!$B$114,Ingresos!V19*'Supuestos Generales'!$B$113,0)</f>
        <v/>
      </c>
      <c r="W26" s="754">
        <f>IF(W$3&gt;='Supuestos Generales'!$B$114,Ingresos!W19*'Supuestos Generales'!$B$113,0)</f>
        <v/>
      </c>
      <c r="X26" s="754">
        <f>IF(X$3&gt;='Supuestos Generales'!$B$114,Ingresos!X19*'Supuestos Generales'!$B$113,0)</f>
        <v/>
      </c>
      <c r="Y26" s="754">
        <f>IF(Y$3&gt;='Supuestos Generales'!$B$114,Ingresos!Y19*'Supuestos Generales'!$B$113,0)</f>
        <v/>
      </c>
      <c r="Z26" s="754">
        <f>IF(Z$3&gt;='Supuestos Generales'!$B$114,Ingresos!Z19*'Supuestos Generales'!$B$113,0)</f>
        <v/>
      </c>
      <c r="AA26" s="754">
        <f>IF(AA$3&gt;='Supuestos Generales'!$B$114,Ingresos!AA19*'Supuestos Generales'!$B$113,0)</f>
        <v/>
      </c>
      <c r="AB26" s="754">
        <f>IF(AB$3&gt;='Supuestos Generales'!$B$114,Ingresos!AB19*'Supuestos Generales'!$B$113,0)</f>
        <v/>
      </c>
      <c r="AC26" s="754">
        <f>IF(AC$3&gt;='Supuestos Generales'!$B$114,Ingresos!AC19*'Supuestos Generales'!$B$113,0)</f>
        <v/>
      </c>
      <c r="AD26" s="754">
        <f>IF(AD$3&gt;='Supuestos Generales'!$B$114,Ingresos!AD19*'Supuestos Generales'!$B$113,0)</f>
        <v/>
      </c>
      <c r="AE26" s="754">
        <f>IF(AE$3&gt;='Supuestos Generales'!$B$114,Ingresos!AE19*'Supuestos Generales'!$B$113,0)</f>
        <v/>
      </c>
      <c r="AF26" s="754">
        <f>IF(AF$3&gt;='Supuestos Generales'!$B$114,Ingresos!AF19*'Supuestos Generales'!$B$113,0)</f>
        <v/>
      </c>
      <c r="AG26" s="754">
        <f>IF(AG$3&gt;='Supuestos Generales'!$B$114,Ingresos!AG19*'Supuestos Generales'!$B$113,0)</f>
        <v/>
      </c>
      <c r="AH26" s="754">
        <f>IF(AH$3&gt;='Supuestos Generales'!$B$114,Ingresos!AH19*'Supuestos Generales'!$B$113,0)</f>
        <v/>
      </c>
      <c r="AI26" s="754">
        <f>IF(AI$3&gt;='Supuestos Generales'!$B$114,Ingresos!AI19*'Supuestos Generales'!$B$113,0)</f>
        <v/>
      </c>
      <c r="AJ26" s="754">
        <f>IF(AJ$3&gt;='Supuestos Generales'!$B$114,Ingresos!AJ19*'Supuestos Generales'!$B$113,0)</f>
        <v/>
      </c>
      <c r="AK26" s="754">
        <f>IF(AK$3&gt;='Supuestos Generales'!$B$114,Ingresos!AK19*'Supuestos Generales'!$B$113,0)</f>
        <v/>
      </c>
      <c r="AL26" s="754">
        <f>IF(AL$3&gt;='Supuestos Generales'!$B$114,Ingresos!AL19*'Supuestos Generales'!$B$113,0)</f>
        <v/>
      </c>
      <c r="AM26" s="754">
        <f>IF(AM$3&gt;='Supuestos Generales'!$B$114,Ingresos!AM19*'Supuestos Generales'!$B$113,0)</f>
        <v/>
      </c>
      <c r="AN26" s="754">
        <f>IF(AN$3&gt;='Supuestos Generales'!$B$114,Ingresos!AN19*'Supuestos Generales'!$B$113,0)</f>
        <v/>
      </c>
      <c r="AO26" s="754">
        <f>IF(AO$3&gt;='Supuestos Generales'!$B$114,Ingresos!AO19*'Supuestos Generales'!$B$113,0)</f>
        <v/>
      </c>
      <c r="AP26" s="754">
        <f>IF(AP$3&gt;='Supuestos Generales'!$B$114,Ingresos!AP19*'Supuestos Generales'!$B$113,0)</f>
        <v/>
      </c>
      <c r="AQ26" s="754">
        <f>IF(AQ$3&gt;='Supuestos Generales'!$B$114,Ingresos!AQ19*'Supuestos Generales'!$B$113,0)</f>
        <v/>
      </c>
      <c r="AR26" s="754">
        <f>IF(AR$3&gt;='Supuestos Generales'!$B$114,Ingresos!AR19*'Supuestos Generales'!$B$113,0)</f>
        <v/>
      </c>
      <c r="AS26" s="754">
        <f>IF(AS$3&gt;='Supuestos Generales'!$B$114,Ingresos!AS19*'Supuestos Generales'!$B$113,0)</f>
        <v/>
      </c>
      <c r="AT26" s="754">
        <f>IF(AT$3&gt;='Supuestos Generales'!$B$114,Ingresos!AT19*'Supuestos Generales'!$B$113,0)</f>
        <v/>
      </c>
      <c r="AU26" s="754">
        <f>IF(AU$3&gt;='Supuestos Generales'!$B$114,Ingresos!AU19*'Supuestos Generales'!$B$113,0)</f>
        <v/>
      </c>
      <c r="AV26" s="754">
        <f>IF(AV$3&gt;='Supuestos Generales'!$B$114,Ingresos!AV19*'Supuestos Generales'!$B$113,0)</f>
        <v/>
      </c>
      <c r="AW26" s="754">
        <f>IF(AW$3&gt;='Supuestos Generales'!$B$114,Ingresos!AW19*'Supuestos Generales'!$B$113,0)</f>
        <v/>
      </c>
      <c r="AX26" s="754">
        <f>IF(AX$3&gt;='Supuestos Generales'!$B$114,Ingresos!AX19*'Supuestos Generales'!$B$113,0)</f>
        <v/>
      </c>
      <c r="AY26" s="754">
        <f>IF(AY$3&gt;='Supuestos Generales'!$B$114,Ingresos!AY19*'Supuestos Generales'!$B$113,0)</f>
        <v/>
      </c>
      <c r="AZ26" s="754">
        <f>IF(AZ$3&gt;='Supuestos Generales'!$B$114,Ingresos!AZ19*'Supuestos Generales'!$B$113,0)</f>
        <v/>
      </c>
      <c r="BA26" s="754">
        <f>IF(BA$3&gt;='Supuestos Generales'!$B$114,Ingresos!BA19*'Supuestos Generales'!$B$113,0)</f>
        <v/>
      </c>
      <c r="BB26" s="754">
        <f>IF(BB$3&gt;='Supuestos Generales'!$B$114,Ingresos!BB19*'Supuestos Generales'!$B$113,0)</f>
        <v/>
      </c>
      <c r="BC26" s="754">
        <f>IF(BC$3&gt;='Supuestos Generales'!$B$114,Ingresos!BC19*'Supuestos Generales'!$B$113,0)</f>
        <v/>
      </c>
      <c r="BD26" s="754">
        <f>IF(BD$3&gt;='Supuestos Generales'!$B$114,Ingresos!BD19*'Supuestos Generales'!$B$113,0)</f>
        <v/>
      </c>
      <c r="BE26" s="754">
        <f>IF(BE$3&gt;='Supuestos Generales'!$B$114,Ingresos!BE19*'Supuestos Generales'!$B$113,0)</f>
        <v/>
      </c>
      <c r="BF26" s="754">
        <f>IF(BF$3&gt;='Supuestos Generales'!$B$114,Ingresos!BF19*'Supuestos Generales'!$B$113,0)</f>
        <v/>
      </c>
      <c r="BG26" s="754">
        <f>IF(BG$3&gt;='Supuestos Generales'!$B$114,Ingresos!BG19*'Supuestos Generales'!$B$113,0)</f>
        <v/>
      </c>
      <c r="BH26" s="754">
        <f>IF(BH$3&gt;='Supuestos Generales'!$B$114,Ingresos!BH19*'Supuestos Generales'!$B$113,0)</f>
        <v/>
      </c>
      <c r="BI26" s="754">
        <f>IF(BI$3&gt;='Supuestos Generales'!$B$114,Ingresos!BI19*'Supuestos Generales'!$B$113,0)</f>
        <v/>
      </c>
      <c r="BJ26" s="757">
        <f>SUM(B26:BI26)</f>
        <v/>
      </c>
    </row>
    <row r="27">
      <c r="A27" s="25" t="inlineStr">
        <is>
          <t>Total Publicidad y Marketing</t>
        </is>
      </c>
      <c r="B27" s="758">
        <f>B26</f>
        <v/>
      </c>
      <c r="C27" s="758">
        <f>C26</f>
        <v/>
      </c>
      <c r="D27" s="758">
        <f>D26</f>
        <v/>
      </c>
      <c r="E27" s="758">
        <f>E26</f>
        <v/>
      </c>
      <c r="F27" s="758">
        <f>F26</f>
        <v/>
      </c>
      <c r="G27" s="758">
        <f>G26</f>
        <v/>
      </c>
      <c r="H27" s="758">
        <f>H26</f>
        <v/>
      </c>
      <c r="I27" s="758">
        <f>I26</f>
        <v/>
      </c>
      <c r="J27" s="758">
        <f>J26</f>
        <v/>
      </c>
      <c r="K27" s="758">
        <f>K26</f>
        <v/>
      </c>
      <c r="L27" s="758">
        <f>L26</f>
        <v/>
      </c>
      <c r="M27" s="758">
        <f>M26</f>
        <v/>
      </c>
      <c r="N27" s="758">
        <f>N26</f>
        <v/>
      </c>
      <c r="O27" s="758">
        <f>O26</f>
        <v/>
      </c>
      <c r="P27" s="758">
        <f>P26</f>
        <v/>
      </c>
      <c r="Q27" s="758">
        <f>Q26</f>
        <v/>
      </c>
      <c r="R27" s="758">
        <f>R26</f>
        <v/>
      </c>
      <c r="S27" s="758">
        <f>S26</f>
        <v/>
      </c>
      <c r="T27" s="758">
        <f>T26</f>
        <v/>
      </c>
      <c r="U27" s="758">
        <f>U26</f>
        <v/>
      </c>
      <c r="V27" s="758">
        <f>V26</f>
        <v/>
      </c>
      <c r="W27" s="758">
        <f>W26</f>
        <v/>
      </c>
      <c r="X27" s="758">
        <f>X26</f>
        <v/>
      </c>
      <c r="Y27" s="758">
        <f>Y26</f>
        <v/>
      </c>
      <c r="Z27" s="758">
        <f>Z26</f>
        <v/>
      </c>
      <c r="AA27" s="758">
        <f>AA26</f>
        <v/>
      </c>
      <c r="AB27" s="758">
        <f>AB26</f>
        <v/>
      </c>
      <c r="AC27" s="758">
        <f>AC26</f>
        <v/>
      </c>
      <c r="AD27" s="758">
        <f>AD26</f>
        <v/>
      </c>
      <c r="AE27" s="758">
        <f>AE26</f>
        <v/>
      </c>
      <c r="AF27" s="758">
        <f>AF26</f>
        <v/>
      </c>
      <c r="AG27" s="758">
        <f>AG26</f>
        <v/>
      </c>
      <c r="AH27" s="758">
        <f>AH26</f>
        <v/>
      </c>
      <c r="AI27" s="758">
        <f>AI26</f>
        <v/>
      </c>
      <c r="AJ27" s="758">
        <f>AJ26</f>
        <v/>
      </c>
      <c r="AK27" s="758">
        <f>AK26</f>
        <v/>
      </c>
      <c r="AL27" s="758">
        <f>AL26</f>
        <v/>
      </c>
      <c r="AM27" s="758">
        <f>AM26</f>
        <v/>
      </c>
      <c r="AN27" s="758">
        <f>AN26</f>
        <v/>
      </c>
      <c r="AO27" s="758">
        <f>AO26</f>
        <v/>
      </c>
      <c r="AP27" s="758">
        <f>AP26</f>
        <v/>
      </c>
      <c r="AQ27" s="758">
        <f>AQ26</f>
        <v/>
      </c>
      <c r="AR27" s="758">
        <f>AR26</f>
        <v/>
      </c>
      <c r="AS27" s="758">
        <f>AS26</f>
        <v/>
      </c>
      <c r="AT27" s="758">
        <f>AT26</f>
        <v/>
      </c>
      <c r="AU27" s="758">
        <f>AU26</f>
        <v/>
      </c>
      <c r="AV27" s="758">
        <f>AV26</f>
        <v/>
      </c>
      <c r="AW27" s="758">
        <f>AW26</f>
        <v/>
      </c>
      <c r="AX27" s="758">
        <f>AX26</f>
        <v/>
      </c>
      <c r="AY27" s="758">
        <f>AY26</f>
        <v/>
      </c>
      <c r="AZ27" s="758">
        <f>AZ26</f>
        <v/>
      </c>
      <c r="BA27" s="758">
        <f>BA26</f>
        <v/>
      </c>
      <c r="BB27" s="758">
        <f>BB26</f>
        <v/>
      </c>
      <c r="BC27" s="758">
        <f>BC26</f>
        <v/>
      </c>
      <c r="BD27" s="758">
        <f>BD26</f>
        <v/>
      </c>
      <c r="BE27" s="758">
        <f>BE26</f>
        <v/>
      </c>
      <c r="BF27" s="758">
        <f>BF26</f>
        <v/>
      </c>
      <c r="BG27" s="758">
        <f>BG26</f>
        <v/>
      </c>
      <c r="BH27" s="758">
        <f>BH26</f>
        <v/>
      </c>
      <c r="BI27" s="758">
        <f>BI26</f>
        <v/>
      </c>
      <c r="BJ27" s="758">
        <f>SUM(B27:BI27)</f>
        <v/>
      </c>
    </row>
    <row r="28">
      <c r="A28" s="22" t="inlineStr">
        <is>
          <t>MÉTRICAS GTM</t>
        </is>
      </c>
    </row>
    <row r="29">
      <c r="A29" s="35" t="inlineStr">
        <is>
          <t>Total restaurantes nuevos (mes)</t>
        </is>
      </c>
      <c r="B29" s="50">
        <f>Onboarding!B10</f>
        <v/>
      </c>
      <c r="C29" s="50">
        <f>Onboarding!C10</f>
        <v/>
      </c>
      <c r="D29" s="50">
        <f>Onboarding!D10</f>
        <v/>
      </c>
      <c r="E29" s="50">
        <f>Onboarding!E10</f>
        <v/>
      </c>
      <c r="F29" s="50">
        <f>Onboarding!F10</f>
        <v/>
      </c>
      <c r="G29" s="50">
        <f>Onboarding!G10</f>
        <v/>
      </c>
      <c r="H29" s="50">
        <f>Onboarding!H10</f>
        <v/>
      </c>
      <c r="I29" s="50">
        <f>Onboarding!I10</f>
        <v/>
      </c>
      <c r="J29" s="50">
        <f>Onboarding!J10</f>
        <v/>
      </c>
      <c r="K29" s="50">
        <f>Onboarding!K10</f>
        <v/>
      </c>
      <c r="L29" s="50">
        <f>Onboarding!L10</f>
        <v/>
      </c>
      <c r="M29" s="50">
        <f>Onboarding!M10</f>
        <v/>
      </c>
      <c r="N29" s="50">
        <f>Onboarding!N10</f>
        <v/>
      </c>
      <c r="O29" s="50">
        <f>Onboarding!O10</f>
        <v/>
      </c>
      <c r="P29" s="50">
        <f>Onboarding!P10</f>
        <v/>
      </c>
      <c r="Q29" s="50">
        <f>Onboarding!Q10</f>
        <v/>
      </c>
      <c r="R29" s="50">
        <f>Onboarding!R10</f>
        <v/>
      </c>
      <c r="S29" s="50">
        <f>Onboarding!S10</f>
        <v/>
      </c>
      <c r="T29" s="50">
        <f>Onboarding!T10</f>
        <v/>
      </c>
      <c r="U29" s="50">
        <f>Onboarding!U10</f>
        <v/>
      </c>
      <c r="V29" s="50">
        <f>Onboarding!V10</f>
        <v/>
      </c>
      <c r="W29" s="50">
        <f>Onboarding!W10</f>
        <v/>
      </c>
      <c r="X29" s="50">
        <f>Onboarding!X10</f>
        <v/>
      </c>
      <c r="Y29" s="50">
        <f>Onboarding!Y10</f>
        <v/>
      </c>
      <c r="Z29" s="50">
        <f>Onboarding!Z10</f>
        <v/>
      </c>
      <c r="AA29" s="50">
        <f>Onboarding!AA10</f>
        <v/>
      </c>
      <c r="AB29" s="50">
        <f>Onboarding!AB10</f>
        <v/>
      </c>
      <c r="AC29" s="50">
        <f>Onboarding!AC10</f>
        <v/>
      </c>
      <c r="AD29" s="50">
        <f>Onboarding!AD10</f>
        <v/>
      </c>
      <c r="AE29" s="50">
        <f>Onboarding!AE10</f>
        <v/>
      </c>
      <c r="AF29" s="50">
        <f>Onboarding!AF10</f>
        <v/>
      </c>
      <c r="AG29" s="50">
        <f>Onboarding!AG10</f>
        <v/>
      </c>
      <c r="AH29" s="50">
        <f>Onboarding!AH10</f>
        <v/>
      </c>
      <c r="AI29" s="50">
        <f>Onboarding!AI10</f>
        <v/>
      </c>
      <c r="AJ29" s="50">
        <f>Onboarding!AJ10</f>
        <v/>
      </c>
      <c r="AK29" s="50">
        <f>Onboarding!AK10</f>
        <v/>
      </c>
      <c r="AL29" s="50">
        <f>Onboarding!AL10</f>
        <v/>
      </c>
      <c r="AM29" s="50">
        <f>Onboarding!AM10</f>
        <v/>
      </c>
      <c r="AN29" s="50">
        <f>Onboarding!AN10</f>
        <v/>
      </c>
      <c r="AO29" s="50">
        <f>Onboarding!AO10</f>
        <v/>
      </c>
      <c r="AP29" s="50">
        <f>Onboarding!AP10</f>
        <v/>
      </c>
      <c r="AQ29" s="50">
        <f>Onboarding!AQ10</f>
        <v/>
      </c>
      <c r="AR29" s="50">
        <f>Onboarding!AR10</f>
        <v/>
      </c>
      <c r="AS29" s="50">
        <f>Onboarding!AS10</f>
        <v/>
      </c>
      <c r="AT29" s="50">
        <f>Onboarding!AT10</f>
        <v/>
      </c>
      <c r="AU29" s="50">
        <f>Onboarding!AU10</f>
        <v/>
      </c>
      <c r="AV29" s="50">
        <f>Onboarding!AV10</f>
        <v/>
      </c>
      <c r="AW29" s="50">
        <f>Onboarding!AW10</f>
        <v/>
      </c>
      <c r="AX29" s="50">
        <f>Onboarding!AX10</f>
        <v/>
      </c>
      <c r="AY29" s="50">
        <f>Onboarding!AY10</f>
        <v/>
      </c>
      <c r="AZ29" s="50">
        <f>Onboarding!AZ10</f>
        <v/>
      </c>
      <c r="BA29" s="50">
        <f>Onboarding!BA10</f>
        <v/>
      </c>
      <c r="BB29" s="50">
        <f>Onboarding!BB10</f>
        <v/>
      </c>
      <c r="BC29" s="50">
        <f>Onboarding!BC10</f>
        <v/>
      </c>
      <c r="BD29" s="50">
        <f>Onboarding!BD10</f>
        <v/>
      </c>
      <c r="BE29" s="50">
        <f>Onboarding!BE10</f>
        <v/>
      </c>
      <c r="BF29" s="50">
        <f>Onboarding!BF10</f>
        <v/>
      </c>
      <c r="BG29" s="50">
        <f>Onboarding!BG10</f>
        <v/>
      </c>
      <c r="BH29" s="50">
        <f>Onboarding!BH10</f>
        <v/>
      </c>
      <c r="BI29" s="50">
        <f>Onboarding!BI10</f>
        <v/>
      </c>
      <c r="BJ29" s="50">
        <f>SUM(B29:BI29)</f>
        <v/>
      </c>
    </row>
    <row r="30">
      <c r="A30" s="35" t="inlineStr">
        <is>
          <t>CAC Blended (incl. descuento referidos)</t>
        </is>
      </c>
      <c r="B30" s="757">
        <f>IF(B29=0,0,(B8+B12+B23+B27+'Costos Directos'!B26)/B29)</f>
        <v/>
      </c>
      <c r="C30" s="757">
        <f>IF(C29=0,0,(C8+C12+C23+C27+'Costos Directos'!C26)/C29)</f>
        <v/>
      </c>
      <c r="D30" s="757">
        <f>IF(D29=0,0,(D8+D12+D23+D27+'Costos Directos'!D26)/D29)</f>
        <v/>
      </c>
      <c r="E30" s="757">
        <f>IF(E29=0,0,(E8+E12+E23+E27+'Costos Directos'!E26)/E29)</f>
        <v/>
      </c>
      <c r="F30" s="757">
        <f>IF(F29=0,0,(F8+F12+F23+F27+'Costos Directos'!F26)/F29)</f>
        <v/>
      </c>
      <c r="G30" s="757">
        <f>IF(G29=0,0,(G8+G12+G23+G27+'Costos Directos'!G26)/G29)</f>
        <v/>
      </c>
      <c r="H30" s="757">
        <f>IF(H29=0,0,(H8+H12+H23+H27+'Costos Directos'!H26)/H29)</f>
        <v/>
      </c>
      <c r="I30" s="757">
        <f>IF(I29=0,0,(I8+I12+I23+I27+'Costos Directos'!I26)/I29)</f>
        <v/>
      </c>
      <c r="J30" s="757">
        <f>IF(J29=0,0,(J8+J12+J23+J27+'Costos Directos'!J26)/J29)</f>
        <v/>
      </c>
      <c r="K30" s="757">
        <f>IF(K29=0,0,(K8+K12+K23+K27+'Costos Directos'!K26)/K29)</f>
        <v/>
      </c>
      <c r="L30" s="757">
        <f>IF(L29=0,0,(L8+L12+L23+L27+'Costos Directos'!L26)/L29)</f>
        <v/>
      </c>
      <c r="M30" s="757">
        <f>IF(M29=0,0,(M8+M12+M23+M27+'Costos Directos'!M26)/M29)</f>
        <v/>
      </c>
      <c r="N30" s="757">
        <f>IF(N29=0,0,(N8+N12+N23+N27+'Costos Directos'!N26)/N29)</f>
        <v/>
      </c>
      <c r="O30" s="757">
        <f>IF(O29=0,0,(O8+O12+O23+O27+'Costos Directos'!O26)/O29)</f>
        <v/>
      </c>
      <c r="P30" s="757">
        <f>IF(P29=0,0,(P8+P12+P23+P27+'Costos Directos'!P26)/P29)</f>
        <v/>
      </c>
      <c r="Q30" s="757">
        <f>IF(Q29=0,0,(Q8+Q12+Q23+Q27+'Costos Directos'!Q26)/Q29)</f>
        <v/>
      </c>
      <c r="R30" s="757">
        <f>IF(R29=0,0,(R8+R12+R23+R27+'Costos Directos'!R26)/R29)</f>
        <v/>
      </c>
      <c r="S30" s="757">
        <f>IF(S29=0,0,(S8+S12+S23+S27+'Costos Directos'!S26)/S29)</f>
        <v/>
      </c>
      <c r="T30" s="757">
        <f>IF(T29=0,0,(T8+T12+T23+T27+'Costos Directos'!T26)/T29)</f>
        <v/>
      </c>
      <c r="U30" s="757">
        <f>IF(U29=0,0,(U8+U12+U23+U27+'Costos Directos'!U26)/U29)</f>
        <v/>
      </c>
      <c r="V30" s="757">
        <f>IF(V29=0,0,(V8+V12+V23+V27+'Costos Directos'!V26)/V29)</f>
        <v/>
      </c>
      <c r="W30" s="757">
        <f>IF(W29=0,0,(W8+W12+W23+W27+'Costos Directos'!W26)/W29)</f>
        <v/>
      </c>
      <c r="X30" s="757">
        <f>IF(X29=0,0,(X8+X12+X23+X27+'Costos Directos'!X26)/X29)</f>
        <v/>
      </c>
      <c r="Y30" s="757">
        <f>IF(Y29=0,0,(Y8+Y12+Y23+Y27+'Costos Directos'!Y26)/Y29)</f>
        <v/>
      </c>
      <c r="Z30" s="757">
        <f>IF(Z29=0,0,(Z8+Z12+Z23+Z27+'Costos Directos'!Z26)/Z29)</f>
        <v/>
      </c>
      <c r="AA30" s="757">
        <f>IF(AA29=0,0,(AA8+AA12+AA23+AA27+'Costos Directos'!AA26)/AA29)</f>
        <v/>
      </c>
      <c r="AB30" s="757">
        <f>IF(AB29=0,0,(AB8+AB12+AB23+AB27+'Costos Directos'!AB26)/AB29)</f>
        <v/>
      </c>
      <c r="AC30" s="757">
        <f>IF(AC29=0,0,(AC8+AC12+AC23+AC27+'Costos Directos'!AC26)/AC29)</f>
        <v/>
      </c>
      <c r="AD30" s="757">
        <f>IF(AD29=0,0,(AD8+AD12+AD23+AD27+'Costos Directos'!AD26)/AD29)</f>
        <v/>
      </c>
      <c r="AE30" s="757">
        <f>IF(AE29=0,0,(AE8+AE12+AE23+AE27+'Costos Directos'!AE26)/AE29)</f>
        <v/>
      </c>
      <c r="AF30" s="757">
        <f>IF(AF29=0,0,(AF8+AF12+AF23+AF27+'Costos Directos'!AF26)/AF29)</f>
        <v/>
      </c>
      <c r="AG30" s="757">
        <f>IF(AG29=0,0,(AG8+AG12+AG23+AG27+'Costos Directos'!AG26)/AG29)</f>
        <v/>
      </c>
      <c r="AH30" s="757">
        <f>IF(AH29=0,0,(AH8+AH12+AH23+AH27+'Costos Directos'!AH26)/AH29)</f>
        <v/>
      </c>
      <c r="AI30" s="757">
        <f>IF(AI29=0,0,(AI8+AI12+AI23+AI27+'Costos Directos'!AI26)/AI29)</f>
        <v/>
      </c>
      <c r="AJ30" s="757">
        <f>IF(AJ29=0,0,(AJ8+AJ12+AJ23+AJ27+'Costos Directos'!AJ26)/AJ29)</f>
        <v/>
      </c>
      <c r="AK30" s="757">
        <f>IF(AK29=0,0,(AK8+AK12+AK23+AK27+'Costos Directos'!AK26)/AK29)</f>
        <v/>
      </c>
      <c r="AL30" s="757">
        <f>IF(AL29=0,0,(AL8+AL12+AL23+AL27+'Costos Directos'!AL26)/AL29)</f>
        <v/>
      </c>
      <c r="AM30" s="757">
        <f>IF(AM29=0,0,(AM8+AM12+AM23+AM27+'Costos Directos'!AM26)/AM29)</f>
        <v/>
      </c>
      <c r="AN30" s="757">
        <f>IF(AN29=0,0,(AN8+AN12+AN23+AN27+'Costos Directos'!AN26)/AN29)</f>
        <v/>
      </c>
      <c r="AO30" s="757">
        <f>IF(AO29=0,0,(AO8+AO12+AO23+AO27+'Costos Directos'!AO26)/AO29)</f>
        <v/>
      </c>
      <c r="AP30" s="757">
        <f>IF(AP29=0,0,(AP8+AP12+AP23+AP27+'Costos Directos'!AP26)/AP29)</f>
        <v/>
      </c>
      <c r="AQ30" s="757">
        <f>IF(AQ29=0,0,(AQ8+AQ12+AQ23+AQ27+'Costos Directos'!AQ26)/AQ29)</f>
        <v/>
      </c>
      <c r="AR30" s="757">
        <f>IF(AR29=0,0,(AR8+AR12+AR23+AR27+'Costos Directos'!AR26)/AR29)</f>
        <v/>
      </c>
      <c r="AS30" s="757">
        <f>IF(AS29=0,0,(AS8+AS12+AS23+AS27+'Costos Directos'!AS26)/AS29)</f>
        <v/>
      </c>
      <c r="AT30" s="757">
        <f>IF(AT29=0,0,(AT8+AT12+AT23+AT27+'Costos Directos'!AT26)/AT29)</f>
        <v/>
      </c>
      <c r="AU30" s="757">
        <f>IF(AU29=0,0,(AU8+AU12+AU23+AU27+'Costos Directos'!AU26)/AU29)</f>
        <v/>
      </c>
      <c r="AV30" s="757">
        <f>IF(AV29=0,0,(AV8+AV12+AV23+AV27+'Costos Directos'!AV26)/AV29)</f>
        <v/>
      </c>
      <c r="AW30" s="757">
        <f>IF(AW29=0,0,(AW8+AW12+AW23+AW27+'Costos Directos'!AW26)/AW29)</f>
        <v/>
      </c>
      <c r="AX30" s="757">
        <f>IF(AX29=0,0,(AX8+AX12+AX23+AX27+'Costos Directos'!AX26)/AX29)</f>
        <v/>
      </c>
      <c r="AY30" s="757">
        <f>IF(AY29=0,0,(AY8+AY12+AY23+AY27+'Costos Directos'!AY26)/AY29)</f>
        <v/>
      </c>
      <c r="AZ30" s="757">
        <f>IF(AZ29=0,0,(AZ8+AZ12+AZ23+AZ27+'Costos Directos'!AZ26)/AZ29)</f>
        <v/>
      </c>
      <c r="BA30" s="757">
        <f>IF(BA29=0,0,(BA8+BA12+BA23+BA27+'Costos Directos'!BA26)/BA29)</f>
        <v/>
      </c>
      <c r="BB30" s="757">
        <f>IF(BB29=0,0,(BB8+BB12+BB23+BB27+'Costos Directos'!BB26)/BB29)</f>
        <v/>
      </c>
      <c r="BC30" s="757">
        <f>IF(BC29=0,0,(BC8+BC12+BC23+BC27+'Costos Directos'!BC26)/BC29)</f>
        <v/>
      </c>
      <c r="BD30" s="757">
        <f>IF(BD29=0,0,(BD8+BD12+BD23+BD27+'Costos Directos'!BD26)/BD29)</f>
        <v/>
      </c>
      <c r="BE30" s="757">
        <f>IF(BE29=0,0,(BE8+BE12+BE23+BE27+'Costos Directos'!BE26)/BE29)</f>
        <v/>
      </c>
      <c r="BF30" s="757">
        <f>IF(BF29=0,0,(BF8+BF12+BF23+BF27+'Costos Directos'!BF26)/BF29)</f>
        <v/>
      </c>
      <c r="BG30" s="757">
        <f>IF(BG29=0,0,(BG8+BG12+BG23+BG27+'Costos Directos'!BG26)/BG29)</f>
        <v/>
      </c>
      <c r="BH30" s="757">
        <f>IF(BH29=0,0,(BH8+BH12+BH23+BH27+'Costos Directos'!BH26)/BH29)</f>
        <v/>
      </c>
      <c r="BI30" s="757">
        <f>IF(BI29=0,0,(BI8+BI12+BI23+BI27+'Costos Directos'!BI26)/BI29)</f>
        <v/>
      </c>
      <c r="BJ30" s="757">
        <f>IF(BJ29=0,0,BJ8/BJ29)</f>
        <v/>
      </c>
    </row>
    <row r="31">
      <c r="A31" s="35" t="inlineStr">
        <is>
          <t>LTV estimado por restaurante (12m)</t>
        </is>
      </c>
      <c r="B31" s="757">
        <f>IF(Onboarding!B12=0,0,(Ingresos!B17/Onboarding!B12)*12)</f>
        <v/>
      </c>
      <c r="C31" s="757">
        <f>IF(Onboarding!C12=0,0,(Ingresos!C17/Onboarding!C12)*12)</f>
        <v/>
      </c>
      <c r="D31" s="757">
        <f>IF(Onboarding!D12=0,0,(Ingresos!D17/Onboarding!D12)*12)</f>
        <v/>
      </c>
      <c r="E31" s="757">
        <f>IF(Onboarding!E12=0,0,(Ingresos!E17/Onboarding!E12)*12)</f>
        <v/>
      </c>
      <c r="F31" s="757">
        <f>IF(Onboarding!F12=0,0,(Ingresos!F17/Onboarding!F12)*12)</f>
        <v/>
      </c>
      <c r="G31" s="757">
        <f>IF(Onboarding!G12=0,0,(Ingresos!G17/Onboarding!G12)*12)</f>
        <v/>
      </c>
      <c r="H31" s="757">
        <f>IF(Onboarding!H12=0,0,(Ingresos!H17/Onboarding!H12)*12)</f>
        <v/>
      </c>
      <c r="I31" s="757">
        <f>IF(Onboarding!I12=0,0,(Ingresos!I17/Onboarding!I12)*12)</f>
        <v/>
      </c>
      <c r="J31" s="757">
        <f>IF(Onboarding!J12=0,0,(Ingresos!J17/Onboarding!J12)*12)</f>
        <v/>
      </c>
      <c r="K31" s="757">
        <f>IF(Onboarding!K12=0,0,(Ingresos!K17/Onboarding!K12)*12)</f>
        <v/>
      </c>
      <c r="L31" s="757">
        <f>IF(Onboarding!L12=0,0,(Ingresos!L17/Onboarding!L12)*12)</f>
        <v/>
      </c>
      <c r="M31" s="757">
        <f>IF(Onboarding!M12=0,0,(Ingresos!M17/Onboarding!M12)*12)</f>
        <v/>
      </c>
      <c r="N31" s="757">
        <f>IF(Onboarding!N12=0,0,(Ingresos!N17/Onboarding!N12)*12)</f>
        <v/>
      </c>
      <c r="O31" s="757">
        <f>IF(Onboarding!O12=0,0,(Ingresos!O17/Onboarding!O12)*12)</f>
        <v/>
      </c>
      <c r="P31" s="757">
        <f>IF(Onboarding!P12=0,0,(Ingresos!P17/Onboarding!P12)*12)</f>
        <v/>
      </c>
      <c r="Q31" s="757">
        <f>IF(Onboarding!Q12=0,0,(Ingresos!Q17/Onboarding!Q12)*12)</f>
        <v/>
      </c>
      <c r="R31" s="757">
        <f>IF(Onboarding!R12=0,0,(Ingresos!R17/Onboarding!R12)*12)</f>
        <v/>
      </c>
      <c r="S31" s="757">
        <f>IF(Onboarding!S12=0,0,(Ingresos!S17/Onboarding!S12)*12)</f>
        <v/>
      </c>
      <c r="T31" s="757">
        <f>IF(Onboarding!T12=0,0,(Ingresos!T17/Onboarding!T12)*12)</f>
        <v/>
      </c>
      <c r="U31" s="757">
        <f>IF(Onboarding!U12=0,0,(Ingresos!U17/Onboarding!U12)*12)</f>
        <v/>
      </c>
      <c r="V31" s="757">
        <f>IF(Onboarding!V12=0,0,(Ingresos!V17/Onboarding!V12)*12)</f>
        <v/>
      </c>
      <c r="W31" s="757">
        <f>IF(Onboarding!W12=0,0,(Ingresos!W17/Onboarding!W12)*12)</f>
        <v/>
      </c>
      <c r="X31" s="757">
        <f>IF(Onboarding!X12=0,0,(Ingresos!X17/Onboarding!X12)*12)</f>
        <v/>
      </c>
      <c r="Y31" s="757">
        <f>IF(Onboarding!Y12=0,0,(Ingresos!Y17/Onboarding!Y12)*12)</f>
        <v/>
      </c>
      <c r="Z31" s="757">
        <f>IF(Onboarding!Z12=0,0,(Ingresos!Z17/Onboarding!Z12)*12)</f>
        <v/>
      </c>
      <c r="AA31" s="757">
        <f>IF(Onboarding!AA12=0,0,(Ingresos!AA17/Onboarding!AA12)*12)</f>
        <v/>
      </c>
      <c r="AB31" s="757">
        <f>IF(Onboarding!AB12=0,0,(Ingresos!AB17/Onboarding!AB12)*12)</f>
        <v/>
      </c>
      <c r="AC31" s="757">
        <f>IF(Onboarding!AC12=0,0,(Ingresos!AC17/Onboarding!AC12)*12)</f>
        <v/>
      </c>
      <c r="AD31" s="757">
        <f>IF(Onboarding!AD12=0,0,(Ingresos!AD17/Onboarding!AD12)*12)</f>
        <v/>
      </c>
      <c r="AE31" s="757">
        <f>IF(Onboarding!AE12=0,0,(Ingresos!AE17/Onboarding!AE12)*12)</f>
        <v/>
      </c>
      <c r="AF31" s="757">
        <f>IF(Onboarding!AF12=0,0,(Ingresos!AF17/Onboarding!AF12)*12)</f>
        <v/>
      </c>
      <c r="AG31" s="757">
        <f>IF(Onboarding!AG12=0,0,(Ingresos!AG17/Onboarding!AG12)*12)</f>
        <v/>
      </c>
      <c r="AH31" s="757">
        <f>IF(Onboarding!AH12=0,0,(Ingresos!AH17/Onboarding!AH12)*12)</f>
        <v/>
      </c>
      <c r="AI31" s="757">
        <f>IF(Onboarding!AI12=0,0,(Ingresos!AI17/Onboarding!AI12)*12)</f>
        <v/>
      </c>
      <c r="AJ31" s="757">
        <f>IF(Onboarding!AJ12=0,0,(Ingresos!AJ17/Onboarding!AJ12)*12)</f>
        <v/>
      </c>
      <c r="AK31" s="757">
        <f>IF(Onboarding!AK12=0,0,(Ingresos!AK17/Onboarding!AK12)*12)</f>
        <v/>
      </c>
      <c r="AL31" s="757">
        <f>IF(Onboarding!AL12=0,0,(Ingresos!AL17/Onboarding!AL12)*12)</f>
        <v/>
      </c>
      <c r="AM31" s="757">
        <f>IF(Onboarding!AM12=0,0,(Ingresos!AM17/Onboarding!AM12)*12)</f>
        <v/>
      </c>
      <c r="AN31" s="757">
        <f>IF(Onboarding!AN12=0,0,(Ingresos!AN17/Onboarding!AN12)*12)</f>
        <v/>
      </c>
      <c r="AO31" s="757">
        <f>IF(Onboarding!AO12=0,0,(Ingresos!AO17/Onboarding!AO12)*12)</f>
        <v/>
      </c>
      <c r="AP31" s="757">
        <f>IF(Onboarding!AP12=0,0,(Ingresos!AP17/Onboarding!AP12)*12)</f>
        <v/>
      </c>
      <c r="AQ31" s="757">
        <f>IF(Onboarding!AQ12=0,0,(Ingresos!AQ17/Onboarding!AQ12)*12)</f>
        <v/>
      </c>
      <c r="AR31" s="757">
        <f>IF(Onboarding!AR12=0,0,(Ingresos!AR17/Onboarding!AR12)*12)</f>
        <v/>
      </c>
      <c r="AS31" s="757">
        <f>IF(Onboarding!AS12=0,0,(Ingresos!AS17/Onboarding!AS12)*12)</f>
        <v/>
      </c>
      <c r="AT31" s="757">
        <f>IF(Onboarding!AT12=0,0,(Ingresos!AT17/Onboarding!AT12)*12)</f>
        <v/>
      </c>
      <c r="AU31" s="757">
        <f>IF(Onboarding!AU12=0,0,(Ingresos!AU17/Onboarding!AU12)*12)</f>
        <v/>
      </c>
      <c r="AV31" s="757">
        <f>IF(Onboarding!AV12=0,0,(Ingresos!AV17/Onboarding!AV12)*12)</f>
        <v/>
      </c>
      <c r="AW31" s="757">
        <f>IF(Onboarding!AW12=0,0,(Ingresos!AW17/Onboarding!AW12)*12)</f>
        <v/>
      </c>
      <c r="AX31" s="757">
        <f>IF(Onboarding!AX12=0,0,(Ingresos!AX17/Onboarding!AX12)*12)</f>
        <v/>
      </c>
      <c r="AY31" s="757">
        <f>IF(Onboarding!AY12=0,0,(Ingresos!AY17/Onboarding!AY12)*12)</f>
        <v/>
      </c>
      <c r="AZ31" s="757">
        <f>IF(Onboarding!AZ12=0,0,(Ingresos!AZ17/Onboarding!AZ12)*12)</f>
        <v/>
      </c>
      <c r="BA31" s="757">
        <f>IF(Onboarding!BA12=0,0,(Ingresos!BA17/Onboarding!BA12)*12)</f>
        <v/>
      </c>
      <c r="BB31" s="757">
        <f>IF(Onboarding!BB12=0,0,(Ingresos!BB17/Onboarding!BB12)*12)</f>
        <v/>
      </c>
      <c r="BC31" s="757">
        <f>IF(Onboarding!BC12=0,0,(Ingresos!BC17/Onboarding!BC12)*12)</f>
        <v/>
      </c>
      <c r="BD31" s="757">
        <f>IF(Onboarding!BD12=0,0,(Ingresos!BD17/Onboarding!BD12)*12)</f>
        <v/>
      </c>
      <c r="BE31" s="757">
        <f>IF(Onboarding!BE12=0,0,(Ingresos!BE17/Onboarding!BE12)*12)</f>
        <v/>
      </c>
      <c r="BF31" s="757">
        <f>IF(Onboarding!BF12=0,0,(Ingresos!BF17/Onboarding!BF12)*12)</f>
        <v/>
      </c>
      <c r="BG31" s="757">
        <f>IF(Onboarding!BG12=0,0,(Ingresos!BG17/Onboarding!BG12)*12)</f>
        <v/>
      </c>
      <c r="BH31" s="757">
        <f>IF(Onboarding!BH12=0,0,(Ingresos!BH17/Onboarding!BH12)*12)</f>
        <v/>
      </c>
      <c r="BI31" s="757">
        <f>IF(Onboarding!BI12=0,0,(Ingresos!BI17/Onboarding!BI12)*12)</f>
        <v/>
      </c>
      <c r="BJ31" s="56" t="inlineStr">
        <is>
          <t>N/A</t>
        </is>
      </c>
    </row>
    <row r="32">
      <c r="A32" s="25" t="inlineStr">
        <is>
          <t>LTV / CAC Blended</t>
        </is>
      </c>
      <c r="B32" s="760">
        <f>IF(B30=0,0,B31/B30)</f>
        <v/>
      </c>
      <c r="C32" s="760">
        <f>IF(C30=0,0,C31/C30)</f>
        <v/>
      </c>
      <c r="D32" s="760">
        <f>IF(D30=0,0,D31/D30)</f>
        <v/>
      </c>
      <c r="E32" s="760">
        <f>IF(E30=0,0,E31/E30)</f>
        <v/>
      </c>
      <c r="F32" s="760">
        <f>IF(F30=0,0,F31/F30)</f>
        <v/>
      </c>
      <c r="G32" s="760">
        <f>IF(G30=0,0,G31/G30)</f>
        <v/>
      </c>
      <c r="H32" s="760">
        <f>IF(H30=0,0,H31/H30)</f>
        <v/>
      </c>
      <c r="I32" s="760">
        <f>IF(I30=0,0,I31/I30)</f>
        <v/>
      </c>
      <c r="J32" s="760">
        <f>IF(J30=0,0,J31/J30)</f>
        <v/>
      </c>
      <c r="K32" s="760">
        <f>IF(K30=0,0,K31/K30)</f>
        <v/>
      </c>
      <c r="L32" s="760">
        <f>IF(L30=0,0,L31/L30)</f>
        <v/>
      </c>
      <c r="M32" s="760">
        <f>IF(M30=0,0,M31/M30)</f>
        <v/>
      </c>
      <c r="N32" s="760">
        <f>IF(N30=0,0,N31/N30)</f>
        <v/>
      </c>
      <c r="O32" s="760">
        <f>IF(O30=0,0,O31/O30)</f>
        <v/>
      </c>
      <c r="P32" s="760">
        <f>IF(P30=0,0,P31/P30)</f>
        <v/>
      </c>
      <c r="Q32" s="760">
        <f>IF(Q30=0,0,Q31/Q30)</f>
        <v/>
      </c>
      <c r="R32" s="760">
        <f>IF(R30=0,0,R31/R30)</f>
        <v/>
      </c>
      <c r="S32" s="760">
        <f>IF(S30=0,0,S31/S30)</f>
        <v/>
      </c>
      <c r="T32" s="760">
        <f>IF(T30=0,0,T31/T30)</f>
        <v/>
      </c>
      <c r="U32" s="760">
        <f>IF(U30=0,0,U31/U30)</f>
        <v/>
      </c>
      <c r="V32" s="760">
        <f>IF(V30=0,0,V31/V30)</f>
        <v/>
      </c>
      <c r="W32" s="760">
        <f>IF(W30=0,0,W31/W30)</f>
        <v/>
      </c>
      <c r="X32" s="760">
        <f>IF(X30=0,0,X31/X30)</f>
        <v/>
      </c>
      <c r="Y32" s="760">
        <f>IF(Y30=0,0,Y31/Y30)</f>
        <v/>
      </c>
      <c r="Z32" s="760">
        <f>IF(Z30=0,0,Z31/Z30)</f>
        <v/>
      </c>
      <c r="AA32" s="760">
        <f>IF(AA30=0,0,AA31/AA30)</f>
        <v/>
      </c>
      <c r="AB32" s="760">
        <f>IF(AB30=0,0,AB31/AB30)</f>
        <v/>
      </c>
      <c r="AC32" s="760">
        <f>IF(AC30=0,0,AC31/AC30)</f>
        <v/>
      </c>
      <c r="AD32" s="760">
        <f>IF(AD30=0,0,AD31/AD30)</f>
        <v/>
      </c>
      <c r="AE32" s="760">
        <f>IF(AE30=0,0,AE31/AE30)</f>
        <v/>
      </c>
      <c r="AF32" s="760">
        <f>IF(AF30=0,0,AF31/AF30)</f>
        <v/>
      </c>
      <c r="AG32" s="760">
        <f>IF(AG30=0,0,AG31/AG30)</f>
        <v/>
      </c>
      <c r="AH32" s="760">
        <f>IF(AH30=0,0,AH31/AH30)</f>
        <v/>
      </c>
      <c r="AI32" s="760">
        <f>IF(AI30=0,0,AI31/AI30)</f>
        <v/>
      </c>
      <c r="AJ32" s="760">
        <f>IF(AJ30=0,0,AJ31/AJ30)</f>
        <v/>
      </c>
      <c r="AK32" s="760">
        <f>IF(AK30=0,0,AK31/AK30)</f>
        <v/>
      </c>
      <c r="AL32" s="760">
        <f>IF(AL30=0,0,AL31/AL30)</f>
        <v/>
      </c>
      <c r="AM32" s="760">
        <f>IF(AM30=0,0,AM31/AM30)</f>
        <v/>
      </c>
      <c r="AN32" s="760">
        <f>IF(AN30=0,0,AN31/AN30)</f>
        <v/>
      </c>
      <c r="AO32" s="760">
        <f>IF(AO30=0,0,AO31/AO30)</f>
        <v/>
      </c>
      <c r="AP32" s="760">
        <f>IF(AP30=0,0,AP31/AP30)</f>
        <v/>
      </c>
      <c r="AQ32" s="760">
        <f>IF(AQ30=0,0,AQ31/AQ30)</f>
        <v/>
      </c>
      <c r="AR32" s="760">
        <f>IF(AR30=0,0,AR31/AR30)</f>
        <v/>
      </c>
      <c r="AS32" s="760">
        <f>IF(AS30=0,0,AS31/AS30)</f>
        <v/>
      </c>
      <c r="AT32" s="760">
        <f>IF(AT30=0,0,AT31/AT30)</f>
        <v/>
      </c>
      <c r="AU32" s="760">
        <f>IF(AU30=0,0,AU31/AU30)</f>
        <v/>
      </c>
      <c r="AV32" s="760">
        <f>IF(AV30=0,0,AV31/AV30)</f>
        <v/>
      </c>
      <c r="AW32" s="760">
        <f>IF(AW30=0,0,AW31/AW30)</f>
        <v/>
      </c>
      <c r="AX32" s="760">
        <f>IF(AX30=0,0,AX31/AX30)</f>
        <v/>
      </c>
      <c r="AY32" s="760">
        <f>IF(AY30=0,0,AY31/AY30)</f>
        <v/>
      </c>
      <c r="AZ32" s="760">
        <f>IF(AZ30=0,0,AZ31/AZ30)</f>
        <v/>
      </c>
      <c r="BA32" s="760">
        <f>IF(BA30=0,0,BA31/BA30)</f>
        <v/>
      </c>
      <c r="BB32" s="760">
        <f>IF(BB30=0,0,BB31/BB30)</f>
        <v/>
      </c>
      <c r="BC32" s="760">
        <f>IF(BC30=0,0,BC31/BC30)</f>
        <v/>
      </c>
      <c r="BD32" s="760">
        <f>IF(BD30=0,0,BD31/BD30)</f>
        <v/>
      </c>
      <c r="BE32" s="760">
        <f>IF(BE30=0,0,BE31/BE30)</f>
        <v/>
      </c>
      <c r="BF32" s="760">
        <f>IF(BF30=0,0,BF31/BF30)</f>
        <v/>
      </c>
      <c r="BG32" s="760">
        <f>IF(BG30=0,0,BG31/BG30)</f>
        <v/>
      </c>
      <c r="BH32" s="760">
        <f>IF(BH30=0,0,BH31/BH30)</f>
        <v/>
      </c>
      <c r="BI32" s="760">
        <f>IF(BI30=0,0,BI31/BI30)</f>
        <v/>
      </c>
      <c r="BJ32" s="56" t="inlineStr">
        <is>
          <t>N/A</t>
        </is>
      </c>
    </row>
    <row r="34">
      <c r="A34" s="43" t="inlineStr">
        <is>
          <t>TOTAL CAC</t>
        </is>
      </c>
      <c r="B34" s="755">
        <f>B8+B12+B23+B27</f>
        <v/>
      </c>
      <c r="C34" s="755">
        <f>C8+C12+C23+C27</f>
        <v/>
      </c>
      <c r="D34" s="755">
        <f>D8+D12+D23+D27</f>
        <v/>
      </c>
      <c r="E34" s="755">
        <f>E8+E12+E23+E27</f>
        <v/>
      </c>
      <c r="F34" s="755">
        <f>F8+F12+F23+F27</f>
        <v/>
      </c>
      <c r="G34" s="755">
        <f>G8+G12+G23+G27</f>
        <v/>
      </c>
      <c r="H34" s="755">
        <f>H8+H12+H23+H27</f>
        <v/>
      </c>
      <c r="I34" s="755">
        <f>I8+I12+I23+I27</f>
        <v/>
      </c>
      <c r="J34" s="755">
        <f>J8+J12+J23+J27</f>
        <v/>
      </c>
      <c r="K34" s="755">
        <f>K8+K12+K23+K27</f>
        <v/>
      </c>
      <c r="L34" s="755">
        <f>L8+L12+L23+L27</f>
        <v/>
      </c>
      <c r="M34" s="755">
        <f>M8+M12+M23+M27</f>
        <v/>
      </c>
      <c r="N34" s="755">
        <f>N8+N12+N23+N27</f>
        <v/>
      </c>
      <c r="O34" s="755">
        <f>O8+O12+O23+O27</f>
        <v/>
      </c>
      <c r="P34" s="755">
        <f>P8+P12+P23+P27</f>
        <v/>
      </c>
      <c r="Q34" s="755">
        <f>Q8+Q12+Q23+Q27</f>
        <v/>
      </c>
      <c r="R34" s="755">
        <f>R8+R12+R23+R27</f>
        <v/>
      </c>
      <c r="S34" s="755">
        <f>S8+S12+S23+S27</f>
        <v/>
      </c>
      <c r="T34" s="755">
        <f>T8+T12+T23+T27</f>
        <v/>
      </c>
      <c r="U34" s="755">
        <f>U8+U12+U23+U27</f>
        <v/>
      </c>
      <c r="V34" s="755">
        <f>V8+V12+V23+V27</f>
        <v/>
      </c>
      <c r="W34" s="755">
        <f>W8+W12+W23+W27</f>
        <v/>
      </c>
      <c r="X34" s="755">
        <f>X8+X12+X23+X27</f>
        <v/>
      </c>
      <c r="Y34" s="755">
        <f>Y8+Y12+Y23+Y27</f>
        <v/>
      </c>
      <c r="Z34" s="755">
        <f>Z8+Z12+Z23+Z27</f>
        <v/>
      </c>
      <c r="AA34" s="755">
        <f>AA8+AA12+AA23+AA27</f>
        <v/>
      </c>
      <c r="AB34" s="755">
        <f>AB8+AB12+AB23+AB27</f>
        <v/>
      </c>
      <c r="AC34" s="755">
        <f>AC8+AC12+AC23+AC27</f>
        <v/>
      </c>
      <c r="AD34" s="755">
        <f>AD8+AD12+AD23+AD27</f>
        <v/>
      </c>
      <c r="AE34" s="755">
        <f>AE8+AE12+AE23+AE27</f>
        <v/>
      </c>
      <c r="AF34" s="755">
        <f>AF8+AF12+AF23+AF27</f>
        <v/>
      </c>
      <c r="AG34" s="755">
        <f>AG8+AG12+AG23+AG27</f>
        <v/>
      </c>
      <c r="AH34" s="755">
        <f>AH8+AH12+AH23+AH27</f>
        <v/>
      </c>
      <c r="AI34" s="755">
        <f>AI8+AI12+AI23+AI27</f>
        <v/>
      </c>
      <c r="AJ34" s="755">
        <f>AJ8+AJ12+AJ23+AJ27</f>
        <v/>
      </c>
      <c r="AK34" s="755">
        <f>AK8+AK12+AK23+AK27</f>
        <v/>
      </c>
      <c r="AL34" s="755">
        <f>AL8+AL12+AL23+AL27</f>
        <v/>
      </c>
      <c r="AM34" s="755">
        <f>AM8+AM12+AM23+AM27</f>
        <v/>
      </c>
      <c r="AN34" s="755">
        <f>AN8+AN12+AN23+AN27</f>
        <v/>
      </c>
      <c r="AO34" s="755">
        <f>AO8+AO12+AO23+AO27</f>
        <v/>
      </c>
      <c r="AP34" s="755">
        <f>AP8+AP12+AP23+AP27</f>
        <v/>
      </c>
      <c r="AQ34" s="755">
        <f>AQ8+AQ12+AQ23+AQ27</f>
        <v/>
      </c>
      <c r="AR34" s="755">
        <f>AR8+AR12+AR23+AR27</f>
        <v/>
      </c>
      <c r="AS34" s="755">
        <f>AS8+AS12+AS23+AS27</f>
        <v/>
      </c>
      <c r="AT34" s="755">
        <f>AT8+AT12+AT23+AT27</f>
        <v/>
      </c>
      <c r="AU34" s="755">
        <f>AU8+AU12+AU23+AU27</f>
        <v/>
      </c>
      <c r="AV34" s="755">
        <f>AV8+AV12+AV23+AV27</f>
        <v/>
      </c>
      <c r="AW34" s="755">
        <f>AW8+AW12+AW23+AW27</f>
        <v/>
      </c>
      <c r="AX34" s="755">
        <f>AX8+AX12+AX23+AX27</f>
        <v/>
      </c>
      <c r="AY34" s="755">
        <f>AY8+AY12+AY23+AY27</f>
        <v/>
      </c>
      <c r="AZ34" s="755">
        <f>AZ8+AZ12+AZ23+AZ27</f>
        <v/>
      </c>
      <c r="BA34" s="755">
        <f>BA8+BA12+BA23+BA27</f>
        <v/>
      </c>
      <c r="BB34" s="755">
        <f>BB8+BB12+BB23+BB27</f>
        <v/>
      </c>
      <c r="BC34" s="755">
        <f>BC8+BC12+BC23+BC27</f>
        <v/>
      </c>
      <c r="BD34" s="755">
        <f>BD8+BD12+BD23+BD27</f>
        <v/>
      </c>
      <c r="BE34" s="755">
        <f>BE8+BE12+BE23+BE27</f>
        <v/>
      </c>
      <c r="BF34" s="755">
        <f>BF8+BF12+BF23+BF27</f>
        <v/>
      </c>
      <c r="BG34" s="755">
        <f>BG8+BG12+BG23+BG27</f>
        <v/>
      </c>
      <c r="BH34" s="755">
        <f>BH8+BH12+BH23+BH27</f>
        <v/>
      </c>
      <c r="BI34" s="755">
        <f>BI8+BI12+BI23+BI27</f>
        <v/>
      </c>
      <c r="BJ34" s="755">
        <f>SUM(B34:BI34)</f>
        <v/>
      </c>
    </row>
    <row r="36">
      <c r="A36" s="22" t="inlineStr">
        <is>
          <t>ACUMULADOS</t>
        </is>
      </c>
    </row>
    <row r="37">
      <c r="A37" s="25" t="inlineStr">
        <is>
          <t>CAC Acumulado</t>
        </is>
      </c>
      <c r="B37" s="756">
        <f>B34</f>
        <v/>
      </c>
      <c r="C37" s="756">
        <f>B37+C34</f>
        <v/>
      </c>
      <c r="D37" s="756">
        <f>C37+D34</f>
        <v/>
      </c>
      <c r="E37" s="756">
        <f>D37+E34</f>
        <v/>
      </c>
      <c r="F37" s="756">
        <f>E37+F34</f>
        <v/>
      </c>
      <c r="G37" s="756">
        <f>F37+G34</f>
        <v/>
      </c>
      <c r="H37" s="756">
        <f>G37+H34</f>
        <v/>
      </c>
      <c r="I37" s="756">
        <f>H37+I34</f>
        <v/>
      </c>
      <c r="J37" s="756">
        <f>I37+J34</f>
        <v/>
      </c>
      <c r="K37" s="756">
        <f>J37+K34</f>
        <v/>
      </c>
      <c r="L37" s="756">
        <f>K37+L34</f>
        <v/>
      </c>
      <c r="M37" s="756">
        <f>L37+M34</f>
        <v/>
      </c>
      <c r="N37" s="756">
        <f>M37+N34</f>
        <v/>
      </c>
      <c r="O37" s="756">
        <f>N37+O34</f>
        <v/>
      </c>
      <c r="P37" s="756">
        <f>O37+P34</f>
        <v/>
      </c>
      <c r="Q37" s="756">
        <f>P37+Q34</f>
        <v/>
      </c>
      <c r="R37" s="756">
        <f>Q37+R34</f>
        <v/>
      </c>
      <c r="S37" s="756">
        <f>R37+S34</f>
        <v/>
      </c>
      <c r="T37" s="756">
        <f>S37+T34</f>
        <v/>
      </c>
      <c r="U37" s="756">
        <f>T37+U34</f>
        <v/>
      </c>
      <c r="V37" s="756">
        <f>U37+V34</f>
        <v/>
      </c>
      <c r="W37" s="756">
        <f>V37+W34</f>
        <v/>
      </c>
      <c r="X37" s="756">
        <f>W37+X34</f>
        <v/>
      </c>
      <c r="Y37" s="756">
        <f>X37+Y34</f>
        <v/>
      </c>
      <c r="Z37" s="756">
        <f>Y37+Z34</f>
        <v/>
      </c>
      <c r="AA37" s="756">
        <f>Z37+AA34</f>
        <v/>
      </c>
      <c r="AB37" s="756">
        <f>AA37+AB34</f>
        <v/>
      </c>
      <c r="AC37" s="756">
        <f>AB37+AC34</f>
        <v/>
      </c>
      <c r="AD37" s="756">
        <f>AC37+AD34</f>
        <v/>
      </c>
      <c r="AE37" s="756">
        <f>AD37+AE34</f>
        <v/>
      </c>
      <c r="AF37" s="756">
        <f>AE37+AF34</f>
        <v/>
      </c>
      <c r="AG37" s="756">
        <f>AF37+AG34</f>
        <v/>
      </c>
      <c r="AH37" s="756">
        <f>AG37+AH34</f>
        <v/>
      </c>
      <c r="AI37" s="756">
        <f>AH37+AI34</f>
        <v/>
      </c>
      <c r="AJ37" s="756">
        <f>AI37+AJ34</f>
        <v/>
      </c>
      <c r="AK37" s="756">
        <f>AJ37+AK34</f>
        <v/>
      </c>
      <c r="AL37" s="756">
        <f>AK37+AL34</f>
        <v/>
      </c>
      <c r="AM37" s="756">
        <f>AL37+AM34</f>
        <v/>
      </c>
      <c r="AN37" s="756">
        <f>AM37+AN34</f>
        <v/>
      </c>
      <c r="AO37" s="756">
        <f>AN37+AO34</f>
        <v/>
      </c>
      <c r="AP37" s="756">
        <f>AO37+AP34</f>
        <v/>
      </c>
      <c r="AQ37" s="756">
        <f>AP37+AQ34</f>
        <v/>
      </c>
      <c r="AR37" s="756">
        <f>AQ37+AR34</f>
        <v/>
      </c>
      <c r="AS37" s="756">
        <f>AR37+AS34</f>
        <v/>
      </c>
      <c r="AT37" s="756">
        <f>AS37+AT34</f>
        <v/>
      </c>
      <c r="AU37" s="756">
        <f>AT37+AU34</f>
        <v/>
      </c>
      <c r="AV37" s="756">
        <f>AU37+AV34</f>
        <v/>
      </c>
      <c r="AW37" s="756">
        <f>AV37+AW34</f>
        <v/>
      </c>
      <c r="AX37" s="756">
        <f>AW37+AX34</f>
        <v/>
      </c>
      <c r="AY37" s="756">
        <f>AX37+AY34</f>
        <v/>
      </c>
      <c r="AZ37" s="756">
        <f>AY37+AZ34</f>
        <v/>
      </c>
      <c r="BA37" s="756">
        <f>AZ37+BA34</f>
        <v/>
      </c>
      <c r="BB37" s="756">
        <f>BA37+BB34</f>
        <v/>
      </c>
      <c r="BC37" s="756">
        <f>BB37+BC34</f>
        <v/>
      </c>
      <c r="BD37" s="756">
        <f>BC37+BD34</f>
        <v/>
      </c>
      <c r="BE37" s="756">
        <f>BD37+BE34</f>
        <v/>
      </c>
      <c r="BF37" s="756">
        <f>BE37+BF34</f>
        <v/>
      </c>
      <c r="BG37" s="756">
        <f>BF37+BG34</f>
        <v/>
      </c>
      <c r="BH37" s="756">
        <f>BG37+BH34</f>
        <v/>
      </c>
      <c r="BI37" s="756">
        <f>BH37+BI34</f>
        <v/>
      </c>
      <c r="BJ37" s="756">
        <f>BI37</f>
        <v/>
      </c>
    </row>
  </sheetData>
  <pageMargins left="0.7" right="0.7" top="0.75" bottom="0.75" header="0.3" footer="0.3"/>
  <pageSetup orientation="portrait" horizontalDpi="0" verticalDpi="0"/>
  <legacyDrawing xmlns:r="http://schemas.openxmlformats.org/officeDocument/2006/relationships" r:id="anysvml"/>
</worksheet>
</file>

<file path=xl/worksheets/sheet12.xml><?xml version="1.0" encoding="utf-8"?>
<worksheet xmlns="http://schemas.openxmlformats.org/spreadsheetml/2006/main">
  <sheetPr>
    <tabColor rgb="FF548235"/>
    <outlinePr summaryBelow="1" summaryRight="1"/>
    <pageSetUpPr/>
  </sheetPr>
  <dimension ref="A1:BJ28"/>
  <sheetViews>
    <sheetView workbookViewId="0">
      <pane xSplit="5" ySplit="21" topLeftCell="AP22" activePane="bottomRight" state="frozen"/>
      <selection pane="topRight" activeCell="F1" sqref="F1"/>
      <selection pane="bottomLeft" activeCell="A19" sqref="A19"/>
      <selection pane="bottomRight" activeCell="B9" sqref="B9"/>
    </sheetView>
  </sheetViews>
  <sheetFormatPr baseColWidth="10" defaultRowHeight="16"/>
  <cols>
    <col width="23.6640625" customWidth="1" min="1" max="1"/>
  </cols>
  <sheetData>
    <row r="1" ht="19" customHeight="1">
      <c r="A1" s="21" t="inlineStr">
        <is>
          <t>OPEX — Proyección Mensual</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row>
    <row r="3">
      <c r="A3" s="22" t="inlineStr">
        <is>
          <t>Concepto</t>
        </is>
      </c>
      <c r="B3" s="34" t="n">
        <v>1</v>
      </c>
      <c r="C3" s="34" t="n">
        <v>2</v>
      </c>
      <c r="D3" s="34" t="n">
        <v>3</v>
      </c>
      <c r="E3" s="34" t="n">
        <v>4</v>
      </c>
      <c r="F3" s="34" t="n">
        <v>5</v>
      </c>
      <c r="G3" s="34" t="n">
        <v>6</v>
      </c>
      <c r="H3" s="34" t="n">
        <v>7</v>
      </c>
      <c r="I3" s="34" t="n">
        <v>8</v>
      </c>
      <c r="J3" s="34" t="n">
        <v>9</v>
      </c>
      <c r="K3" s="34" t="n">
        <v>10</v>
      </c>
      <c r="L3" s="34" t="n">
        <v>11</v>
      </c>
      <c r="M3" s="34" t="n">
        <v>12</v>
      </c>
      <c r="N3" s="34" t="n">
        <v>13</v>
      </c>
      <c r="O3" s="34" t="n">
        <v>14</v>
      </c>
      <c r="P3" s="34" t="n">
        <v>15</v>
      </c>
      <c r="Q3" s="34" t="n">
        <v>16</v>
      </c>
      <c r="R3" s="34" t="n">
        <v>17</v>
      </c>
      <c r="S3" s="34" t="n">
        <v>18</v>
      </c>
      <c r="T3" s="34" t="n">
        <v>19</v>
      </c>
      <c r="U3" s="34" t="n">
        <v>20</v>
      </c>
      <c r="V3" s="34" t="n">
        <v>21</v>
      </c>
      <c r="W3" s="34" t="n">
        <v>22</v>
      </c>
      <c r="X3" s="34" t="n">
        <v>23</v>
      </c>
      <c r="Y3" s="34" t="n">
        <v>24</v>
      </c>
      <c r="Z3" s="34" t="n">
        <v>25</v>
      </c>
      <c r="AA3" s="34" t="n">
        <v>26</v>
      </c>
      <c r="AB3" s="34" t="n">
        <v>27</v>
      </c>
      <c r="AC3" s="34" t="n">
        <v>28</v>
      </c>
      <c r="AD3" s="34" t="n">
        <v>29</v>
      </c>
      <c r="AE3" s="34" t="n">
        <v>30</v>
      </c>
      <c r="AF3" s="34" t="n">
        <v>31</v>
      </c>
      <c r="AG3" s="34" t="n">
        <v>32</v>
      </c>
      <c r="AH3" s="34" t="n">
        <v>33</v>
      </c>
      <c r="AI3" s="34" t="n">
        <v>34</v>
      </c>
      <c r="AJ3" s="34" t="n">
        <v>35</v>
      </c>
      <c r="AK3" s="34" t="n">
        <v>36</v>
      </c>
      <c r="AL3" s="34" t="n">
        <v>37</v>
      </c>
      <c r="AM3" s="34" t="n">
        <v>38</v>
      </c>
      <c r="AN3" s="34" t="n">
        <v>39</v>
      </c>
      <c r="AO3" s="34" t="n">
        <v>40</v>
      </c>
      <c r="AP3" s="34" t="n">
        <v>41</v>
      </c>
      <c r="AQ3" s="34" t="n">
        <v>42</v>
      </c>
      <c r="AR3" s="34" t="n">
        <v>43</v>
      </c>
      <c r="AS3" s="34" t="n">
        <v>44</v>
      </c>
      <c r="AT3" s="34" t="n">
        <v>45</v>
      </c>
      <c r="AU3" s="34" t="n">
        <v>46</v>
      </c>
      <c r="AV3" s="34" t="n">
        <v>47</v>
      </c>
      <c r="AW3" s="34" t="n">
        <v>48</v>
      </c>
      <c r="AX3" s="34" t="n">
        <v>49</v>
      </c>
      <c r="AY3" s="34" t="n">
        <v>50</v>
      </c>
      <c r="AZ3" s="34" t="n">
        <v>51</v>
      </c>
      <c r="BA3" s="34" t="n">
        <v>52</v>
      </c>
      <c r="BB3" s="34" t="n">
        <v>53</v>
      </c>
      <c r="BC3" s="34" t="n">
        <v>54</v>
      </c>
      <c r="BD3" s="34" t="n">
        <v>55</v>
      </c>
      <c r="BE3" s="34" t="n">
        <v>56</v>
      </c>
      <c r="BF3" s="34" t="n">
        <v>57</v>
      </c>
      <c r="BG3" s="34" t="n">
        <v>58</v>
      </c>
      <c r="BH3" s="34" t="n">
        <v>59</v>
      </c>
      <c r="BI3" s="34" t="n">
        <v>60</v>
      </c>
      <c r="BJ3" s="48" t="inlineStr">
        <is>
          <t>TOTAL</t>
        </is>
      </c>
    </row>
    <row r="5">
      <c r="A5" s="59" t="inlineStr">
        <is>
          <t>COSTOS FIJOS MENSUALES</t>
        </is>
      </c>
    </row>
    <row r="6">
      <c r="A6" s="60" t="inlineStr">
        <is>
          <t>Equipo Producto (devs, diseño)</t>
        </is>
      </c>
      <c r="B6" s="761">
        <f>'Supuestos Generales'!$B$118*'Supuestos Generales'!$B$127*(1+'Supuestos Generales'!$B$128)^B$20</f>
        <v/>
      </c>
      <c r="C6" s="761">
        <f>'Supuestos Generales'!$B$118*'Supuestos Generales'!$B$127*(1+'Supuestos Generales'!$B$128)^C$20</f>
        <v/>
      </c>
      <c r="D6" s="761">
        <f>'Supuestos Generales'!$B$118*'Supuestos Generales'!$B$127*(1+'Supuestos Generales'!$B$128)^D$20</f>
        <v/>
      </c>
      <c r="E6" s="761">
        <f>'Supuestos Generales'!$B$118*'Supuestos Generales'!$B$127*(1+'Supuestos Generales'!$B$128)^E$20</f>
        <v/>
      </c>
      <c r="F6" s="761">
        <f>'Supuestos Generales'!$B$118*'Supuestos Generales'!$B$127*(1+'Supuestos Generales'!$B$128)^F$20</f>
        <v/>
      </c>
      <c r="G6" s="761">
        <f>'Supuestos Generales'!$B$118*'Supuestos Generales'!$B$127*(1+'Supuestos Generales'!$B$128)^G$20</f>
        <v/>
      </c>
      <c r="H6" s="761">
        <f>'Supuestos Generales'!$B$118*'Supuestos Generales'!$B$127*(1+'Supuestos Generales'!$B$128)^H$20</f>
        <v/>
      </c>
      <c r="I6" s="761">
        <f>'Supuestos Generales'!$B$118*'Supuestos Generales'!$B$127*(1+'Supuestos Generales'!$B$128)^I$20</f>
        <v/>
      </c>
      <c r="J6" s="761">
        <f>'Supuestos Generales'!$B$118*'Supuestos Generales'!$B$127*(1+'Supuestos Generales'!$B$128)^J$20</f>
        <v/>
      </c>
      <c r="K6" s="761">
        <f>'Supuestos Generales'!$B$118*'Supuestos Generales'!$B$127*(1+'Supuestos Generales'!$B$128)^K$20</f>
        <v/>
      </c>
      <c r="L6" s="761">
        <f>'Supuestos Generales'!$B$118*'Supuestos Generales'!$B$127*(1+'Supuestos Generales'!$B$128)^L$20</f>
        <v/>
      </c>
      <c r="M6" s="761">
        <f>'Supuestos Generales'!$B$118*'Supuestos Generales'!$B$127*(1+'Supuestos Generales'!$B$128)^M$20</f>
        <v/>
      </c>
      <c r="N6" s="761">
        <f>'Supuestos Generales'!$B$118*'Supuestos Generales'!$B$127*(1+'Supuestos Generales'!$B$128)^N$20</f>
        <v/>
      </c>
      <c r="O6" s="761">
        <f>'Supuestos Generales'!$B$118*'Supuestos Generales'!$B$127*(1+'Supuestos Generales'!$B$128)^O$20</f>
        <v/>
      </c>
      <c r="P6" s="761">
        <f>'Supuestos Generales'!$B$118*'Supuestos Generales'!$B$127*(1+'Supuestos Generales'!$B$128)^P$20</f>
        <v/>
      </c>
      <c r="Q6" s="761">
        <f>'Supuestos Generales'!$B$118*'Supuestos Generales'!$B$127*(1+'Supuestos Generales'!$B$128)^Q$20</f>
        <v/>
      </c>
      <c r="R6" s="761">
        <f>'Supuestos Generales'!$B$118*'Supuestos Generales'!$B$127*(1+'Supuestos Generales'!$B$128)^R$20</f>
        <v/>
      </c>
      <c r="S6" s="761">
        <f>'Supuestos Generales'!$B$118*'Supuestos Generales'!$B$127*(1+'Supuestos Generales'!$B$128)^S$20</f>
        <v/>
      </c>
      <c r="T6" s="761">
        <f>'Supuestos Generales'!$B$118*'Supuestos Generales'!$B$127*(1+'Supuestos Generales'!$B$128)^T$20</f>
        <v/>
      </c>
      <c r="U6" s="761">
        <f>'Supuestos Generales'!$B$118*'Supuestos Generales'!$B$127*(1+'Supuestos Generales'!$B$128)^U$20</f>
        <v/>
      </c>
      <c r="V6" s="761">
        <f>'Supuestos Generales'!$B$118*'Supuestos Generales'!$B$127*(1+'Supuestos Generales'!$B$128)^V$20</f>
        <v/>
      </c>
      <c r="W6" s="761">
        <f>'Supuestos Generales'!$B$118*'Supuestos Generales'!$B$127*(1+'Supuestos Generales'!$B$128)^W$20</f>
        <v/>
      </c>
      <c r="X6" s="761">
        <f>'Supuestos Generales'!$B$118*'Supuestos Generales'!$B$127*(1+'Supuestos Generales'!$B$128)^X$20</f>
        <v/>
      </c>
      <c r="Y6" s="761">
        <f>'Supuestos Generales'!$B$118*'Supuestos Generales'!$B$127*(1+'Supuestos Generales'!$B$128)^Y$20</f>
        <v/>
      </c>
      <c r="Z6" s="761">
        <f>'Supuestos Generales'!$B$118*'Supuestos Generales'!$B$127*(1+'Supuestos Generales'!$B$128)^Z$20</f>
        <v/>
      </c>
      <c r="AA6" s="761">
        <f>'Supuestos Generales'!$B$118*'Supuestos Generales'!$B$127*(1+'Supuestos Generales'!$B$128)^AA$20</f>
        <v/>
      </c>
      <c r="AB6" s="761">
        <f>'Supuestos Generales'!$B$118*'Supuestos Generales'!$B$127*(1+'Supuestos Generales'!$B$128)^AB$20</f>
        <v/>
      </c>
      <c r="AC6" s="761">
        <f>'Supuestos Generales'!$B$118*'Supuestos Generales'!$B$127*(1+'Supuestos Generales'!$B$128)^AC$20</f>
        <v/>
      </c>
      <c r="AD6" s="761">
        <f>'Supuestos Generales'!$B$118*'Supuestos Generales'!$B$127*(1+'Supuestos Generales'!$B$128)^AD$20</f>
        <v/>
      </c>
      <c r="AE6" s="761">
        <f>'Supuestos Generales'!$B$118*'Supuestos Generales'!$B$127*(1+'Supuestos Generales'!$B$128)^AE$20</f>
        <v/>
      </c>
      <c r="AF6" s="761">
        <f>'Supuestos Generales'!$B$118*'Supuestos Generales'!$B$127*(1+'Supuestos Generales'!$B$128)^AF$20</f>
        <v/>
      </c>
      <c r="AG6" s="761">
        <f>'Supuestos Generales'!$B$118*'Supuestos Generales'!$B$127*(1+'Supuestos Generales'!$B$128)^AG$20</f>
        <v/>
      </c>
      <c r="AH6" s="761">
        <f>'Supuestos Generales'!$B$118*'Supuestos Generales'!$B$127*(1+'Supuestos Generales'!$B$128)^AH$20</f>
        <v/>
      </c>
      <c r="AI6" s="761">
        <f>'Supuestos Generales'!$B$118*'Supuestos Generales'!$B$127*(1+'Supuestos Generales'!$B$128)^AI$20</f>
        <v/>
      </c>
      <c r="AJ6" s="761">
        <f>'Supuestos Generales'!$B$118*'Supuestos Generales'!$B$127*(1+'Supuestos Generales'!$B$128)^AJ$20</f>
        <v/>
      </c>
      <c r="AK6" s="761">
        <f>'Supuestos Generales'!$B$118*'Supuestos Generales'!$B$127*(1+'Supuestos Generales'!$B$128)^AK$20</f>
        <v/>
      </c>
      <c r="AL6" s="761">
        <f>'Supuestos Generales'!$B$118*'Supuestos Generales'!$B$127*(1+'Supuestos Generales'!$B$128)^AL$20</f>
        <v/>
      </c>
      <c r="AM6" s="761">
        <f>'Supuestos Generales'!$B$118*'Supuestos Generales'!$B$127*(1+'Supuestos Generales'!$B$128)^AM$20</f>
        <v/>
      </c>
      <c r="AN6" s="761">
        <f>'Supuestos Generales'!$B$118*'Supuestos Generales'!$B$127*(1+'Supuestos Generales'!$B$128)^AN$20</f>
        <v/>
      </c>
      <c r="AO6" s="761">
        <f>'Supuestos Generales'!$B$118*'Supuestos Generales'!$B$127*(1+'Supuestos Generales'!$B$128)^AO$20</f>
        <v/>
      </c>
      <c r="AP6" s="761">
        <f>'Supuestos Generales'!$B$118*'Supuestos Generales'!$B$127*(1+'Supuestos Generales'!$B$128)^AP$20</f>
        <v/>
      </c>
      <c r="AQ6" s="761">
        <f>'Supuestos Generales'!$B$118*'Supuestos Generales'!$B$127*(1+'Supuestos Generales'!$B$128)^AQ$20</f>
        <v/>
      </c>
      <c r="AR6" s="761">
        <f>'Supuestos Generales'!$B$118*'Supuestos Generales'!$B$127*(1+'Supuestos Generales'!$B$128)^AR$20</f>
        <v/>
      </c>
      <c r="AS6" s="761">
        <f>'Supuestos Generales'!$B$118*'Supuestos Generales'!$B$127*(1+'Supuestos Generales'!$B$128)^AS$20</f>
        <v/>
      </c>
      <c r="AT6" s="761">
        <f>'Supuestos Generales'!$B$118*'Supuestos Generales'!$B$127*(1+'Supuestos Generales'!$B$128)^AT$20</f>
        <v/>
      </c>
      <c r="AU6" s="761">
        <f>'Supuestos Generales'!$B$118*'Supuestos Generales'!$B$127*(1+'Supuestos Generales'!$B$128)^AU$20</f>
        <v/>
      </c>
      <c r="AV6" s="761">
        <f>'Supuestos Generales'!$B$118*'Supuestos Generales'!$B$127*(1+'Supuestos Generales'!$B$128)^AV$20</f>
        <v/>
      </c>
      <c r="AW6" s="761">
        <f>'Supuestos Generales'!$B$118*'Supuestos Generales'!$B$127*(1+'Supuestos Generales'!$B$128)^AW$20</f>
        <v/>
      </c>
      <c r="AX6" s="761">
        <f>'Supuestos Generales'!$B$118*'Supuestos Generales'!$B$127*(1+'Supuestos Generales'!$B$128)^AX$20</f>
        <v/>
      </c>
      <c r="AY6" s="761">
        <f>'Supuestos Generales'!$B$118*'Supuestos Generales'!$B$127*(1+'Supuestos Generales'!$B$128)^AY$20</f>
        <v/>
      </c>
      <c r="AZ6" s="761">
        <f>'Supuestos Generales'!$B$118*'Supuestos Generales'!$B$127*(1+'Supuestos Generales'!$B$128)^AZ$20</f>
        <v/>
      </c>
      <c r="BA6" s="761">
        <f>'Supuestos Generales'!$B$118*'Supuestos Generales'!$B$127*(1+'Supuestos Generales'!$B$128)^BA$20</f>
        <v/>
      </c>
      <c r="BB6" s="761">
        <f>'Supuestos Generales'!$B$118*'Supuestos Generales'!$B$127*(1+'Supuestos Generales'!$B$128)^BB$20</f>
        <v/>
      </c>
      <c r="BC6" s="761">
        <f>'Supuestos Generales'!$B$118*'Supuestos Generales'!$B$127*(1+'Supuestos Generales'!$B$128)^BC$20</f>
        <v/>
      </c>
      <c r="BD6" s="761">
        <f>'Supuestos Generales'!$B$118*'Supuestos Generales'!$B$127*(1+'Supuestos Generales'!$B$128)^BD$20</f>
        <v/>
      </c>
      <c r="BE6" s="761">
        <f>'Supuestos Generales'!$B$118*'Supuestos Generales'!$B$127*(1+'Supuestos Generales'!$B$128)^BE$20</f>
        <v/>
      </c>
      <c r="BF6" s="761">
        <f>'Supuestos Generales'!$B$118*'Supuestos Generales'!$B$127*(1+'Supuestos Generales'!$B$128)^BF$20</f>
        <v/>
      </c>
      <c r="BG6" s="761">
        <f>'Supuestos Generales'!$B$118*'Supuestos Generales'!$B$127*(1+'Supuestos Generales'!$B$128)^BG$20</f>
        <v/>
      </c>
      <c r="BH6" s="761">
        <f>'Supuestos Generales'!$B$118*'Supuestos Generales'!$B$127*(1+'Supuestos Generales'!$B$128)^BH$20</f>
        <v/>
      </c>
      <c r="BI6" s="761">
        <f>'Supuestos Generales'!$B$118*'Supuestos Generales'!$B$127*(1+'Supuestos Generales'!$B$128)^BI$20</f>
        <v/>
      </c>
      <c r="BJ6" s="762">
        <f>SUM(B6:BI6)</f>
        <v/>
      </c>
    </row>
    <row r="7">
      <c r="A7" s="60" t="inlineStr">
        <is>
          <t>Equipo Analítica</t>
        </is>
      </c>
      <c r="B7" s="761">
        <f>'Supuestos Generales'!$B$119*'Supuestos Generales'!$B$127*(1+'Supuestos Generales'!$B$128)^B$20</f>
        <v/>
      </c>
      <c r="C7" s="761">
        <f>'Supuestos Generales'!$B$119*'Supuestos Generales'!$B$127*(1+'Supuestos Generales'!$B$128)^C$20</f>
        <v/>
      </c>
      <c r="D7" s="761">
        <f>'Supuestos Generales'!$B$119*'Supuestos Generales'!$B$127*(1+'Supuestos Generales'!$B$128)^D$20</f>
        <v/>
      </c>
      <c r="E7" s="761">
        <f>'Supuestos Generales'!$B$119*'Supuestos Generales'!$B$127*(1+'Supuestos Generales'!$B$128)^E$20</f>
        <v/>
      </c>
      <c r="F7" s="761">
        <f>'Supuestos Generales'!$B$119*'Supuestos Generales'!$B$127*(1+'Supuestos Generales'!$B$128)^F$20</f>
        <v/>
      </c>
      <c r="G7" s="761">
        <f>'Supuestos Generales'!$B$119*'Supuestos Generales'!$B$127*(1+'Supuestos Generales'!$B$128)^G$20</f>
        <v/>
      </c>
      <c r="H7" s="761">
        <f>'Supuestos Generales'!$B$119*'Supuestos Generales'!$B$127*(1+'Supuestos Generales'!$B$128)^H$20</f>
        <v/>
      </c>
      <c r="I7" s="761">
        <f>'Supuestos Generales'!$B$119*'Supuestos Generales'!$B$127*(1+'Supuestos Generales'!$B$128)^I$20</f>
        <v/>
      </c>
      <c r="J7" s="761">
        <f>'Supuestos Generales'!$B$119*'Supuestos Generales'!$B$127*(1+'Supuestos Generales'!$B$128)^J$20</f>
        <v/>
      </c>
      <c r="K7" s="761">
        <f>'Supuestos Generales'!$B$119*'Supuestos Generales'!$B$127*(1+'Supuestos Generales'!$B$128)^K$20</f>
        <v/>
      </c>
      <c r="L7" s="761">
        <f>'Supuestos Generales'!$B$119*'Supuestos Generales'!$B$127*(1+'Supuestos Generales'!$B$128)^L$20</f>
        <v/>
      </c>
      <c r="M7" s="761">
        <f>'Supuestos Generales'!$B$119*'Supuestos Generales'!$B$127*(1+'Supuestos Generales'!$B$128)^M$20</f>
        <v/>
      </c>
      <c r="N7" s="761">
        <f>'Supuestos Generales'!$B$119*'Supuestos Generales'!$B$127*(1+'Supuestos Generales'!$B$128)^N$20</f>
        <v/>
      </c>
      <c r="O7" s="761">
        <f>'Supuestos Generales'!$B$119*'Supuestos Generales'!$B$127*(1+'Supuestos Generales'!$B$128)^O$20</f>
        <v/>
      </c>
      <c r="P7" s="761">
        <f>'Supuestos Generales'!$B$119*'Supuestos Generales'!$B$127*(1+'Supuestos Generales'!$B$128)^P$20</f>
        <v/>
      </c>
      <c r="Q7" s="761">
        <f>'Supuestos Generales'!$B$119*'Supuestos Generales'!$B$127*(1+'Supuestos Generales'!$B$128)^Q$20</f>
        <v/>
      </c>
      <c r="R7" s="761">
        <f>'Supuestos Generales'!$B$119*'Supuestos Generales'!$B$127*(1+'Supuestos Generales'!$B$128)^R$20</f>
        <v/>
      </c>
      <c r="S7" s="761">
        <f>'Supuestos Generales'!$B$119*'Supuestos Generales'!$B$127*(1+'Supuestos Generales'!$B$128)^S$20</f>
        <v/>
      </c>
      <c r="T7" s="761">
        <f>'Supuestos Generales'!$B$119*'Supuestos Generales'!$B$127*(1+'Supuestos Generales'!$B$128)^T$20</f>
        <v/>
      </c>
      <c r="U7" s="761">
        <f>'Supuestos Generales'!$B$119*'Supuestos Generales'!$B$127*(1+'Supuestos Generales'!$B$128)^U$20</f>
        <v/>
      </c>
      <c r="V7" s="761">
        <f>'Supuestos Generales'!$B$119*'Supuestos Generales'!$B$127*(1+'Supuestos Generales'!$B$128)^V$20</f>
        <v/>
      </c>
      <c r="W7" s="761">
        <f>'Supuestos Generales'!$B$119*'Supuestos Generales'!$B$127*(1+'Supuestos Generales'!$B$128)^W$20</f>
        <v/>
      </c>
      <c r="X7" s="761">
        <f>'Supuestos Generales'!$B$119*'Supuestos Generales'!$B$127*(1+'Supuestos Generales'!$B$128)^X$20</f>
        <v/>
      </c>
      <c r="Y7" s="761">
        <f>'Supuestos Generales'!$B$119*'Supuestos Generales'!$B$127*(1+'Supuestos Generales'!$B$128)^Y$20</f>
        <v/>
      </c>
      <c r="Z7" s="761">
        <f>'Supuestos Generales'!$B$119*'Supuestos Generales'!$B$127*(1+'Supuestos Generales'!$B$128)^Z$20</f>
        <v/>
      </c>
      <c r="AA7" s="761">
        <f>'Supuestos Generales'!$B$119*'Supuestos Generales'!$B$127*(1+'Supuestos Generales'!$B$128)^AA$20</f>
        <v/>
      </c>
      <c r="AB7" s="761">
        <f>'Supuestos Generales'!$B$119*'Supuestos Generales'!$B$127*(1+'Supuestos Generales'!$B$128)^AB$20</f>
        <v/>
      </c>
      <c r="AC7" s="761">
        <f>'Supuestos Generales'!$B$119*'Supuestos Generales'!$B$127*(1+'Supuestos Generales'!$B$128)^AC$20</f>
        <v/>
      </c>
      <c r="AD7" s="761">
        <f>'Supuestos Generales'!$B$119*'Supuestos Generales'!$B$127*(1+'Supuestos Generales'!$B$128)^AD$20</f>
        <v/>
      </c>
      <c r="AE7" s="761">
        <f>'Supuestos Generales'!$B$119*'Supuestos Generales'!$B$127*(1+'Supuestos Generales'!$B$128)^AE$20</f>
        <v/>
      </c>
      <c r="AF7" s="761">
        <f>'Supuestos Generales'!$B$119*'Supuestos Generales'!$B$127*(1+'Supuestos Generales'!$B$128)^AF$20</f>
        <v/>
      </c>
      <c r="AG7" s="761">
        <f>'Supuestos Generales'!$B$119*'Supuestos Generales'!$B$127*(1+'Supuestos Generales'!$B$128)^AG$20</f>
        <v/>
      </c>
      <c r="AH7" s="761">
        <f>'Supuestos Generales'!$B$119*'Supuestos Generales'!$B$127*(1+'Supuestos Generales'!$B$128)^AH$20</f>
        <v/>
      </c>
      <c r="AI7" s="761">
        <f>'Supuestos Generales'!$B$119*'Supuestos Generales'!$B$127*(1+'Supuestos Generales'!$B$128)^AI$20</f>
        <v/>
      </c>
      <c r="AJ7" s="761">
        <f>'Supuestos Generales'!$B$119*'Supuestos Generales'!$B$127*(1+'Supuestos Generales'!$B$128)^AJ$20</f>
        <v/>
      </c>
      <c r="AK7" s="761">
        <f>'Supuestos Generales'!$B$119*'Supuestos Generales'!$B$127*(1+'Supuestos Generales'!$B$128)^AK$20</f>
        <v/>
      </c>
      <c r="AL7" s="761">
        <f>'Supuestos Generales'!$B$119*'Supuestos Generales'!$B$127*(1+'Supuestos Generales'!$B$128)^AL$20</f>
        <v/>
      </c>
      <c r="AM7" s="761">
        <f>'Supuestos Generales'!$B$119*'Supuestos Generales'!$B$127*(1+'Supuestos Generales'!$B$128)^AM$20</f>
        <v/>
      </c>
      <c r="AN7" s="761">
        <f>'Supuestos Generales'!$B$119*'Supuestos Generales'!$B$127*(1+'Supuestos Generales'!$B$128)^AN$20</f>
        <v/>
      </c>
      <c r="AO7" s="761">
        <f>'Supuestos Generales'!$B$119*'Supuestos Generales'!$B$127*(1+'Supuestos Generales'!$B$128)^AO$20</f>
        <v/>
      </c>
      <c r="AP7" s="761">
        <f>'Supuestos Generales'!$B$119*'Supuestos Generales'!$B$127*(1+'Supuestos Generales'!$B$128)^AP$20</f>
        <v/>
      </c>
      <c r="AQ7" s="761">
        <f>'Supuestos Generales'!$B$119*'Supuestos Generales'!$B$127*(1+'Supuestos Generales'!$B$128)^AQ$20</f>
        <v/>
      </c>
      <c r="AR7" s="761">
        <f>'Supuestos Generales'!$B$119*'Supuestos Generales'!$B$127*(1+'Supuestos Generales'!$B$128)^AR$20</f>
        <v/>
      </c>
      <c r="AS7" s="761">
        <f>'Supuestos Generales'!$B$119*'Supuestos Generales'!$B$127*(1+'Supuestos Generales'!$B$128)^AS$20</f>
        <v/>
      </c>
      <c r="AT7" s="761">
        <f>'Supuestos Generales'!$B$119*'Supuestos Generales'!$B$127*(1+'Supuestos Generales'!$B$128)^AT$20</f>
        <v/>
      </c>
      <c r="AU7" s="761">
        <f>'Supuestos Generales'!$B$119*'Supuestos Generales'!$B$127*(1+'Supuestos Generales'!$B$128)^AU$20</f>
        <v/>
      </c>
      <c r="AV7" s="761">
        <f>'Supuestos Generales'!$B$119*'Supuestos Generales'!$B$127*(1+'Supuestos Generales'!$B$128)^AV$20</f>
        <v/>
      </c>
      <c r="AW7" s="761">
        <f>'Supuestos Generales'!$B$119*'Supuestos Generales'!$B$127*(1+'Supuestos Generales'!$B$128)^AW$20</f>
        <v/>
      </c>
      <c r="AX7" s="761">
        <f>'Supuestos Generales'!$B$119*'Supuestos Generales'!$B$127*(1+'Supuestos Generales'!$B$128)^AX$20</f>
        <v/>
      </c>
      <c r="AY7" s="761">
        <f>'Supuestos Generales'!$B$119*'Supuestos Generales'!$B$127*(1+'Supuestos Generales'!$B$128)^AY$20</f>
        <v/>
      </c>
      <c r="AZ7" s="761">
        <f>'Supuestos Generales'!$B$119*'Supuestos Generales'!$B$127*(1+'Supuestos Generales'!$B$128)^AZ$20</f>
        <v/>
      </c>
      <c r="BA7" s="761">
        <f>'Supuestos Generales'!$B$119*'Supuestos Generales'!$B$127*(1+'Supuestos Generales'!$B$128)^BA$20</f>
        <v/>
      </c>
      <c r="BB7" s="761">
        <f>'Supuestos Generales'!$B$119*'Supuestos Generales'!$B$127*(1+'Supuestos Generales'!$B$128)^BB$20</f>
        <v/>
      </c>
      <c r="BC7" s="761">
        <f>'Supuestos Generales'!$B$119*'Supuestos Generales'!$B$127*(1+'Supuestos Generales'!$B$128)^BC$20</f>
        <v/>
      </c>
      <c r="BD7" s="761">
        <f>'Supuestos Generales'!$B$119*'Supuestos Generales'!$B$127*(1+'Supuestos Generales'!$B$128)^BD$20</f>
        <v/>
      </c>
      <c r="BE7" s="761">
        <f>'Supuestos Generales'!$B$119*'Supuestos Generales'!$B$127*(1+'Supuestos Generales'!$B$128)^BE$20</f>
        <v/>
      </c>
      <c r="BF7" s="761">
        <f>'Supuestos Generales'!$B$119*'Supuestos Generales'!$B$127*(1+'Supuestos Generales'!$B$128)^BF$20</f>
        <v/>
      </c>
      <c r="BG7" s="761">
        <f>'Supuestos Generales'!$B$119*'Supuestos Generales'!$B$127*(1+'Supuestos Generales'!$B$128)^BG$20</f>
        <v/>
      </c>
      <c r="BH7" s="761">
        <f>'Supuestos Generales'!$B$119*'Supuestos Generales'!$B$127*(1+'Supuestos Generales'!$B$128)^BH$20</f>
        <v/>
      </c>
      <c r="BI7" s="761">
        <f>'Supuestos Generales'!$B$119*'Supuestos Generales'!$B$127*(1+'Supuestos Generales'!$B$128)^BI$20</f>
        <v/>
      </c>
      <c r="BJ7" s="762">
        <f>SUM(B7:BI7)</f>
        <v/>
      </c>
    </row>
    <row r="8">
      <c r="A8" s="60" t="inlineStr">
        <is>
          <t>Equipo Operaciones</t>
        </is>
      </c>
      <c r="B8" s="761">
        <f>'Supuestos Generales'!$B$120*'Supuestos Generales'!$B$127*(1+'Supuestos Generales'!$B$128)^B$20</f>
        <v/>
      </c>
      <c r="C8" s="761">
        <f>'Supuestos Generales'!$B$120*'Supuestos Generales'!$B$127*(1+'Supuestos Generales'!$B$128)^C$20</f>
        <v/>
      </c>
      <c r="D8" s="761">
        <f>'Supuestos Generales'!$B$120*'Supuestos Generales'!$B$127*(1+'Supuestos Generales'!$B$128)^D$20</f>
        <v/>
      </c>
      <c r="E8" s="761">
        <f>'Supuestos Generales'!$B$120*'Supuestos Generales'!$B$127*(1+'Supuestos Generales'!$B$128)^E$20</f>
        <v/>
      </c>
      <c r="F8" s="761">
        <f>'Supuestos Generales'!$B$120*'Supuestos Generales'!$B$127*(1+'Supuestos Generales'!$B$128)^F$20</f>
        <v/>
      </c>
      <c r="G8" s="761">
        <f>'Supuestos Generales'!$B$120*'Supuestos Generales'!$B$127*(1+'Supuestos Generales'!$B$128)^G$20</f>
        <v/>
      </c>
      <c r="H8" s="761">
        <f>'Supuestos Generales'!$B$120*'Supuestos Generales'!$B$127*(1+'Supuestos Generales'!$B$128)^H$20</f>
        <v/>
      </c>
      <c r="I8" s="761">
        <f>'Supuestos Generales'!$B$120*'Supuestos Generales'!$B$127*(1+'Supuestos Generales'!$B$128)^I$20</f>
        <v/>
      </c>
      <c r="J8" s="761">
        <f>'Supuestos Generales'!$B$120*'Supuestos Generales'!$B$127*(1+'Supuestos Generales'!$B$128)^J$20</f>
        <v/>
      </c>
      <c r="K8" s="761">
        <f>'Supuestos Generales'!$B$120*'Supuestos Generales'!$B$127*(1+'Supuestos Generales'!$B$128)^K$20</f>
        <v/>
      </c>
      <c r="L8" s="761">
        <f>'Supuestos Generales'!$B$120*'Supuestos Generales'!$B$127*(1+'Supuestos Generales'!$B$128)^L$20</f>
        <v/>
      </c>
      <c r="M8" s="761">
        <f>'Supuestos Generales'!$B$120*'Supuestos Generales'!$B$127*(1+'Supuestos Generales'!$B$128)^M$20</f>
        <v/>
      </c>
      <c r="N8" s="761">
        <f>'Supuestos Generales'!$B$120*'Supuestos Generales'!$B$127*(1+'Supuestos Generales'!$B$128)^N$20</f>
        <v/>
      </c>
      <c r="O8" s="761">
        <f>'Supuestos Generales'!$B$120*'Supuestos Generales'!$B$127*(1+'Supuestos Generales'!$B$128)^O$20</f>
        <v/>
      </c>
      <c r="P8" s="761">
        <f>'Supuestos Generales'!$B$120*'Supuestos Generales'!$B$127*(1+'Supuestos Generales'!$B$128)^P$20</f>
        <v/>
      </c>
      <c r="Q8" s="761">
        <f>'Supuestos Generales'!$B$120*'Supuestos Generales'!$B$127*(1+'Supuestos Generales'!$B$128)^Q$20</f>
        <v/>
      </c>
      <c r="R8" s="761">
        <f>'Supuestos Generales'!$B$120*'Supuestos Generales'!$B$127*(1+'Supuestos Generales'!$B$128)^R$20</f>
        <v/>
      </c>
      <c r="S8" s="761">
        <f>'Supuestos Generales'!$B$120*'Supuestos Generales'!$B$127*(1+'Supuestos Generales'!$B$128)^S$20</f>
        <v/>
      </c>
      <c r="T8" s="761">
        <f>'Supuestos Generales'!$B$120*'Supuestos Generales'!$B$127*(1+'Supuestos Generales'!$B$128)^T$20</f>
        <v/>
      </c>
      <c r="U8" s="761">
        <f>'Supuestos Generales'!$B$120*'Supuestos Generales'!$B$127*(1+'Supuestos Generales'!$B$128)^U$20</f>
        <v/>
      </c>
      <c r="V8" s="761">
        <f>'Supuestos Generales'!$B$120*'Supuestos Generales'!$B$127*(1+'Supuestos Generales'!$B$128)^V$20</f>
        <v/>
      </c>
      <c r="W8" s="761">
        <f>'Supuestos Generales'!$B$120*'Supuestos Generales'!$B$127*(1+'Supuestos Generales'!$B$128)^W$20</f>
        <v/>
      </c>
      <c r="X8" s="761">
        <f>'Supuestos Generales'!$B$120*'Supuestos Generales'!$B$127*(1+'Supuestos Generales'!$B$128)^X$20</f>
        <v/>
      </c>
      <c r="Y8" s="761">
        <f>'Supuestos Generales'!$B$120*'Supuestos Generales'!$B$127*(1+'Supuestos Generales'!$B$128)^Y$20</f>
        <v/>
      </c>
      <c r="Z8" s="761">
        <f>'Supuestos Generales'!$B$120*'Supuestos Generales'!$B$127*(1+'Supuestos Generales'!$B$128)^Z$20</f>
        <v/>
      </c>
      <c r="AA8" s="761">
        <f>'Supuestos Generales'!$B$120*'Supuestos Generales'!$B$127*(1+'Supuestos Generales'!$B$128)^AA$20</f>
        <v/>
      </c>
      <c r="AB8" s="761">
        <f>'Supuestos Generales'!$B$120*'Supuestos Generales'!$B$127*(1+'Supuestos Generales'!$B$128)^AB$20</f>
        <v/>
      </c>
      <c r="AC8" s="761">
        <f>'Supuestos Generales'!$B$120*'Supuestos Generales'!$B$127*(1+'Supuestos Generales'!$B$128)^AC$20</f>
        <v/>
      </c>
      <c r="AD8" s="761">
        <f>'Supuestos Generales'!$B$120*'Supuestos Generales'!$B$127*(1+'Supuestos Generales'!$B$128)^AD$20</f>
        <v/>
      </c>
      <c r="AE8" s="761">
        <f>'Supuestos Generales'!$B$120*'Supuestos Generales'!$B$127*(1+'Supuestos Generales'!$B$128)^AE$20</f>
        <v/>
      </c>
      <c r="AF8" s="761">
        <f>'Supuestos Generales'!$B$120*'Supuestos Generales'!$B$127*(1+'Supuestos Generales'!$B$128)^AF$20</f>
        <v/>
      </c>
      <c r="AG8" s="761">
        <f>'Supuestos Generales'!$B$120*'Supuestos Generales'!$B$127*(1+'Supuestos Generales'!$B$128)^AG$20</f>
        <v/>
      </c>
      <c r="AH8" s="761">
        <f>'Supuestos Generales'!$B$120*'Supuestos Generales'!$B$127*(1+'Supuestos Generales'!$B$128)^AH$20</f>
        <v/>
      </c>
      <c r="AI8" s="761">
        <f>'Supuestos Generales'!$B$120*'Supuestos Generales'!$B$127*(1+'Supuestos Generales'!$B$128)^AI$20</f>
        <v/>
      </c>
      <c r="AJ8" s="761">
        <f>'Supuestos Generales'!$B$120*'Supuestos Generales'!$B$127*(1+'Supuestos Generales'!$B$128)^AJ$20</f>
        <v/>
      </c>
      <c r="AK8" s="761">
        <f>'Supuestos Generales'!$B$120*'Supuestos Generales'!$B$127*(1+'Supuestos Generales'!$B$128)^AK$20</f>
        <v/>
      </c>
      <c r="AL8" s="761">
        <f>'Supuestos Generales'!$B$120*'Supuestos Generales'!$B$127*(1+'Supuestos Generales'!$B$128)^AL$20</f>
        <v/>
      </c>
      <c r="AM8" s="761">
        <f>'Supuestos Generales'!$B$120*'Supuestos Generales'!$B$127*(1+'Supuestos Generales'!$B$128)^AM$20</f>
        <v/>
      </c>
      <c r="AN8" s="761">
        <f>'Supuestos Generales'!$B$120*'Supuestos Generales'!$B$127*(1+'Supuestos Generales'!$B$128)^AN$20</f>
        <v/>
      </c>
      <c r="AO8" s="761">
        <f>'Supuestos Generales'!$B$120*'Supuestos Generales'!$B$127*(1+'Supuestos Generales'!$B$128)^AO$20</f>
        <v/>
      </c>
      <c r="AP8" s="761">
        <f>'Supuestos Generales'!$B$120*'Supuestos Generales'!$B$127*(1+'Supuestos Generales'!$B$128)^AP$20</f>
        <v/>
      </c>
      <c r="AQ8" s="761">
        <f>'Supuestos Generales'!$B$120*'Supuestos Generales'!$B$127*(1+'Supuestos Generales'!$B$128)^AQ$20</f>
        <v/>
      </c>
      <c r="AR8" s="761">
        <f>'Supuestos Generales'!$B$120*'Supuestos Generales'!$B$127*(1+'Supuestos Generales'!$B$128)^AR$20</f>
        <v/>
      </c>
      <c r="AS8" s="761">
        <f>'Supuestos Generales'!$B$120*'Supuestos Generales'!$B$127*(1+'Supuestos Generales'!$B$128)^AS$20</f>
        <v/>
      </c>
      <c r="AT8" s="761">
        <f>'Supuestos Generales'!$B$120*'Supuestos Generales'!$B$127*(1+'Supuestos Generales'!$B$128)^AT$20</f>
        <v/>
      </c>
      <c r="AU8" s="761">
        <f>'Supuestos Generales'!$B$120*'Supuestos Generales'!$B$127*(1+'Supuestos Generales'!$B$128)^AU$20</f>
        <v/>
      </c>
      <c r="AV8" s="761">
        <f>'Supuestos Generales'!$B$120*'Supuestos Generales'!$B$127*(1+'Supuestos Generales'!$B$128)^AV$20</f>
        <v/>
      </c>
      <c r="AW8" s="761">
        <f>'Supuestos Generales'!$B$120*'Supuestos Generales'!$B$127*(1+'Supuestos Generales'!$B$128)^AW$20</f>
        <v/>
      </c>
      <c r="AX8" s="761">
        <f>'Supuestos Generales'!$B$120*'Supuestos Generales'!$B$127*(1+'Supuestos Generales'!$B$128)^AX$20</f>
        <v/>
      </c>
      <c r="AY8" s="761">
        <f>'Supuestos Generales'!$B$120*'Supuestos Generales'!$B$127*(1+'Supuestos Generales'!$B$128)^AY$20</f>
        <v/>
      </c>
      <c r="AZ8" s="761">
        <f>'Supuestos Generales'!$B$120*'Supuestos Generales'!$B$127*(1+'Supuestos Generales'!$B$128)^AZ$20</f>
        <v/>
      </c>
      <c r="BA8" s="761">
        <f>'Supuestos Generales'!$B$120*'Supuestos Generales'!$B$127*(1+'Supuestos Generales'!$B$128)^BA$20</f>
        <v/>
      </c>
      <c r="BB8" s="761">
        <f>'Supuestos Generales'!$B$120*'Supuestos Generales'!$B$127*(1+'Supuestos Generales'!$B$128)^BB$20</f>
        <v/>
      </c>
      <c r="BC8" s="761">
        <f>'Supuestos Generales'!$B$120*'Supuestos Generales'!$B$127*(1+'Supuestos Generales'!$B$128)^BC$20</f>
        <v/>
      </c>
      <c r="BD8" s="761">
        <f>'Supuestos Generales'!$B$120*'Supuestos Generales'!$B$127*(1+'Supuestos Generales'!$B$128)^BD$20</f>
        <v/>
      </c>
      <c r="BE8" s="761">
        <f>'Supuestos Generales'!$B$120*'Supuestos Generales'!$B$127*(1+'Supuestos Generales'!$B$128)^BE$20</f>
        <v/>
      </c>
      <c r="BF8" s="761">
        <f>'Supuestos Generales'!$B$120*'Supuestos Generales'!$B$127*(1+'Supuestos Generales'!$B$128)^BF$20</f>
        <v/>
      </c>
      <c r="BG8" s="761">
        <f>'Supuestos Generales'!$B$120*'Supuestos Generales'!$B$127*(1+'Supuestos Generales'!$B$128)^BG$20</f>
        <v/>
      </c>
      <c r="BH8" s="761">
        <f>'Supuestos Generales'!$B$120*'Supuestos Generales'!$B$127*(1+'Supuestos Generales'!$B$128)^BH$20</f>
        <v/>
      </c>
      <c r="BI8" s="761">
        <f>'Supuestos Generales'!$B$120*'Supuestos Generales'!$B$127*(1+'Supuestos Generales'!$B$128)^BI$20</f>
        <v/>
      </c>
      <c r="BJ8" s="762">
        <f>SUM(B8:BI8)</f>
        <v/>
      </c>
    </row>
    <row r="9">
      <c r="A9" s="60" t="inlineStr">
        <is>
          <t>Equipo Ventas</t>
        </is>
      </c>
      <c r="B9" s="761">
        <f>'Supuestos Generales'!$B$121*'Supuestos Generales'!$B$127*(1+'Supuestos Generales'!$B$128)^B$20</f>
        <v/>
      </c>
      <c r="C9" s="761">
        <f>'Supuestos Generales'!$B$121*'Supuestos Generales'!$B$127*(1+'Supuestos Generales'!$B$128)^C$20</f>
        <v/>
      </c>
      <c r="D9" s="761">
        <f>'Supuestos Generales'!$B$121*'Supuestos Generales'!$B$127*(1+'Supuestos Generales'!$B$128)^D$20</f>
        <v/>
      </c>
      <c r="E9" s="761">
        <f>'Supuestos Generales'!$B$121*'Supuestos Generales'!$B$127*(1+'Supuestos Generales'!$B$128)^E$20</f>
        <v/>
      </c>
      <c r="F9" s="761">
        <f>'Supuestos Generales'!$B$121*'Supuestos Generales'!$B$127*(1+'Supuestos Generales'!$B$128)^F$20</f>
        <v/>
      </c>
      <c r="G9" s="761">
        <f>'Supuestos Generales'!$B$121*'Supuestos Generales'!$B$127*(1+'Supuestos Generales'!$B$128)^G$20</f>
        <v/>
      </c>
      <c r="H9" s="761">
        <f>'Supuestos Generales'!$B$121*'Supuestos Generales'!$B$127*(1+'Supuestos Generales'!$B$128)^H$20</f>
        <v/>
      </c>
      <c r="I9" s="761">
        <f>'Supuestos Generales'!$B$121*'Supuestos Generales'!$B$127*(1+'Supuestos Generales'!$B$128)^I$20</f>
        <v/>
      </c>
      <c r="J9" s="761">
        <f>'Supuestos Generales'!$B$121*'Supuestos Generales'!$B$127*(1+'Supuestos Generales'!$B$128)^J$20</f>
        <v/>
      </c>
      <c r="K9" s="761">
        <f>'Supuestos Generales'!$B$121*'Supuestos Generales'!$B$127*(1+'Supuestos Generales'!$B$128)^K$20</f>
        <v/>
      </c>
      <c r="L9" s="761">
        <f>'Supuestos Generales'!$B$121*'Supuestos Generales'!$B$127*(1+'Supuestos Generales'!$B$128)^L$20</f>
        <v/>
      </c>
      <c r="M9" s="761">
        <f>'Supuestos Generales'!$B$121*'Supuestos Generales'!$B$127*(1+'Supuestos Generales'!$B$128)^M$20</f>
        <v/>
      </c>
      <c r="N9" s="761">
        <f>'Supuestos Generales'!$B$121*'Supuestos Generales'!$B$127*(1+'Supuestos Generales'!$B$128)^N$20</f>
        <v/>
      </c>
      <c r="O9" s="761">
        <f>'Supuestos Generales'!$B$121*'Supuestos Generales'!$B$127*(1+'Supuestos Generales'!$B$128)^O$20</f>
        <v/>
      </c>
      <c r="P9" s="761">
        <f>'Supuestos Generales'!$B$121*'Supuestos Generales'!$B$127*(1+'Supuestos Generales'!$B$128)^P$20</f>
        <v/>
      </c>
      <c r="Q9" s="761">
        <f>'Supuestos Generales'!$B$121*'Supuestos Generales'!$B$127*(1+'Supuestos Generales'!$B$128)^Q$20</f>
        <v/>
      </c>
      <c r="R9" s="761">
        <f>'Supuestos Generales'!$B$121*'Supuestos Generales'!$B$127*(1+'Supuestos Generales'!$B$128)^R$20</f>
        <v/>
      </c>
      <c r="S9" s="761">
        <f>'Supuestos Generales'!$B$121*'Supuestos Generales'!$B$127*(1+'Supuestos Generales'!$B$128)^S$20</f>
        <v/>
      </c>
      <c r="T9" s="761">
        <f>'Supuestos Generales'!$B$121*'Supuestos Generales'!$B$127*(1+'Supuestos Generales'!$B$128)^T$20</f>
        <v/>
      </c>
      <c r="U9" s="761">
        <f>'Supuestos Generales'!$B$121*'Supuestos Generales'!$B$127*(1+'Supuestos Generales'!$B$128)^U$20</f>
        <v/>
      </c>
      <c r="V9" s="761">
        <f>'Supuestos Generales'!$B$121*'Supuestos Generales'!$B$127*(1+'Supuestos Generales'!$B$128)^V$20</f>
        <v/>
      </c>
      <c r="W9" s="761">
        <f>'Supuestos Generales'!$B$121*'Supuestos Generales'!$B$127*(1+'Supuestos Generales'!$B$128)^W$20</f>
        <v/>
      </c>
      <c r="X9" s="761">
        <f>'Supuestos Generales'!$B$121*'Supuestos Generales'!$B$127*(1+'Supuestos Generales'!$B$128)^X$20</f>
        <v/>
      </c>
      <c r="Y9" s="761">
        <f>'Supuestos Generales'!$B$121*'Supuestos Generales'!$B$127*(1+'Supuestos Generales'!$B$128)^Y$20</f>
        <v/>
      </c>
      <c r="Z9" s="761">
        <f>'Supuestos Generales'!$B$121*'Supuestos Generales'!$B$127*(1+'Supuestos Generales'!$B$128)^Z$20</f>
        <v/>
      </c>
      <c r="AA9" s="761">
        <f>'Supuestos Generales'!$B$121*'Supuestos Generales'!$B$127*(1+'Supuestos Generales'!$B$128)^AA$20</f>
        <v/>
      </c>
      <c r="AB9" s="761">
        <f>'Supuestos Generales'!$B$121*'Supuestos Generales'!$B$127*(1+'Supuestos Generales'!$B$128)^AB$20</f>
        <v/>
      </c>
      <c r="AC9" s="761">
        <f>'Supuestos Generales'!$B$121*'Supuestos Generales'!$B$127*(1+'Supuestos Generales'!$B$128)^AC$20</f>
        <v/>
      </c>
      <c r="AD9" s="761">
        <f>'Supuestos Generales'!$B$121*'Supuestos Generales'!$B$127*(1+'Supuestos Generales'!$B$128)^AD$20</f>
        <v/>
      </c>
      <c r="AE9" s="761">
        <f>'Supuestos Generales'!$B$121*'Supuestos Generales'!$B$127*(1+'Supuestos Generales'!$B$128)^AE$20</f>
        <v/>
      </c>
      <c r="AF9" s="761">
        <f>'Supuestos Generales'!$B$121*'Supuestos Generales'!$B$127*(1+'Supuestos Generales'!$B$128)^AF$20</f>
        <v/>
      </c>
      <c r="AG9" s="761">
        <f>'Supuestos Generales'!$B$121*'Supuestos Generales'!$B$127*(1+'Supuestos Generales'!$B$128)^AG$20</f>
        <v/>
      </c>
      <c r="AH9" s="761">
        <f>'Supuestos Generales'!$B$121*'Supuestos Generales'!$B$127*(1+'Supuestos Generales'!$B$128)^AH$20</f>
        <v/>
      </c>
      <c r="AI9" s="761">
        <f>'Supuestos Generales'!$B$121*'Supuestos Generales'!$B$127*(1+'Supuestos Generales'!$B$128)^AI$20</f>
        <v/>
      </c>
      <c r="AJ9" s="761">
        <f>'Supuestos Generales'!$B$121*'Supuestos Generales'!$B$127*(1+'Supuestos Generales'!$B$128)^AJ$20</f>
        <v/>
      </c>
      <c r="AK9" s="761">
        <f>'Supuestos Generales'!$B$121*'Supuestos Generales'!$B$127*(1+'Supuestos Generales'!$B$128)^AK$20</f>
        <v/>
      </c>
      <c r="AL9" s="761">
        <f>'Supuestos Generales'!$B$121*'Supuestos Generales'!$B$127*(1+'Supuestos Generales'!$B$128)^AL$20</f>
        <v/>
      </c>
      <c r="AM9" s="761">
        <f>'Supuestos Generales'!$B$121*'Supuestos Generales'!$B$127*(1+'Supuestos Generales'!$B$128)^AM$20</f>
        <v/>
      </c>
      <c r="AN9" s="761">
        <f>'Supuestos Generales'!$B$121*'Supuestos Generales'!$B$127*(1+'Supuestos Generales'!$B$128)^AN$20</f>
        <v/>
      </c>
      <c r="AO9" s="761">
        <f>'Supuestos Generales'!$B$121*'Supuestos Generales'!$B$127*(1+'Supuestos Generales'!$B$128)^AO$20</f>
        <v/>
      </c>
      <c r="AP9" s="761">
        <f>'Supuestos Generales'!$B$121*'Supuestos Generales'!$B$127*(1+'Supuestos Generales'!$B$128)^AP$20</f>
        <v/>
      </c>
      <c r="AQ9" s="761">
        <f>'Supuestos Generales'!$B$121*'Supuestos Generales'!$B$127*(1+'Supuestos Generales'!$B$128)^AQ$20</f>
        <v/>
      </c>
      <c r="AR9" s="761">
        <f>'Supuestos Generales'!$B$121*'Supuestos Generales'!$B$127*(1+'Supuestos Generales'!$B$128)^AR$20</f>
        <v/>
      </c>
      <c r="AS9" s="761">
        <f>'Supuestos Generales'!$B$121*'Supuestos Generales'!$B$127*(1+'Supuestos Generales'!$B$128)^AS$20</f>
        <v/>
      </c>
      <c r="AT9" s="761">
        <f>'Supuestos Generales'!$B$121*'Supuestos Generales'!$B$127*(1+'Supuestos Generales'!$B$128)^AT$20</f>
        <v/>
      </c>
      <c r="AU9" s="761">
        <f>'Supuestos Generales'!$B$121*'Supuestos Generales'!$B$127*(1+'Supuestos Generales'!$B$128)^AU$20</f>
        <v/>
      </c>
      <c r="AV9" s="761">
        <f>'Supuestos Generales'!$B$121*'Supuestos Generales'!$B$127*(1+'Supuestos Generales'!$B$128)^AV$20</f>
        <v/>
      </c>
      <c r="AW9" s="761">
        <f>'Supuestos Generales'!$B$121*'Supuestos Generales'!$B$127*(1+'Supuestos Generales'!$B$128)^AW$20</f>
        <v/>
      </c>
      <c r="AX9" s="761">
        <f>'Supuestos Generales'!$B$121*'Supuestos Generales'!$B$127*(1+'Supuestos Generales'!$B$128)^AX$20</f>
        <v/>
      </c>
      <c r="AY9" s="761">
        <f>'Supuestos Generales'!$B$121*'Supuestos Generales'!$B$127*(1+'Supuestos Generales'!$B$128)^AY$20</f>
        <v/>
      </c>
      <c r="AZ9" s="761">
        <f>'Supuestos Generales'!$B$121*'Supuestos Generales'!$B$127*(1+'Supuestos Generales'!$B$128)^AZ$20</f>
        <v/>
      </c>
      <c r="BA9" s="761">
        <f>'Supuestos Generales'!$B$121*'Supuestos Generales'!$B$127*(1+'Supuestos Generales'!$B$128)^BA$20</f>
        <v/>
      </c>
      <c r="BB9" s="761">
        <f>'Supuestos Generales'!$B$121*'Supuestos Generales'!$B$127*(1+'Supuestos Generales'!$B$128)^BB$20</f>
        <v/>
      </c>
      <c r="BC9" s="761">
        <f>'Supuestos Generales'!$B$121*'Supuestos Generales'!$B$127*(1+'Supuestos Generales'!$B$128)^BC$20</f>
        <v/>
      </c>
      <c r="BD9" s="761">
        <f>'Supuestos Generales'!$B$121*'Supuestos Generales'!$B$127*(1+'Supuestos Generales'!$B$128)^BD$20</f>
        <v/>
      </c>
      <c r="BE9" s="761">
        <f>'Supuestos Generales'!$B$121*'Supuestos Generales'!$B$127*(1+'Supuestos Generales'!$B$128)^BE$20</f>
        <v/>
      </c>
      <c r="BF9" s="761">
        <f>'Supuestos Generales'!$B$121*'Supuestos Generales'!$B$127*(1+'Supuestos Generales'!$B$128)^BF$20</f>
        <v/>
      </c>
      <c r="BG9" s="761">
        <f>'Supuestos Generales'!$B$121*'Supuestos Generales'!$B$127*(1+'Supuestos Generales'!$B$128)^BG$20</f>
        <v/>
      </c>
      <c r="BH9" s="761">
        <f>'Supuestos Generales'!$B$121*'Supuestos Generales'!$B$127*(1+'Supuestos Generales'!$B$128)^BH$20</f>
        <v/>
      </c>
      <c r="BI9" s="761">
        <f>'Supuestos Generales'!$B$121*'Supuestos Generales'!$B$127*(1+'Supuestos Generales'!$B$128)^BI$20</f>
        <v/>
      </c>
      <c r="BJ9" s="762">
        <f>SUM(B9:BI9)</f>
        <v/>
      </c>
    </row>
    <row r="10">
      <c r="A10" s="60" t="inlineStr">
        <is>
          <t>Administración y Legal</t>
        </is>
      </c>
      <c r="B10" s="761">
        <f>'Supuestos Generales'!$B$122*'Supuestos Generales'!$B$127*(1+'Supuestos Generales'!$B$128)^B$20</f>
        <v/>
      </c>
      <c r="C10" s="761">
        <f>'Supuestos Generales'!$B$122*'Supuestos Generales'!$B$127*(1+'Supuestos Generales'!$B$128)^C$20</f>
        <v/>
      </c>
      <c r="D10" s="761">
        <f>'Supuestos Generales'!$B$122*'Supuestos Generales'!$B$127*(1+'Supuestos Generales'!$B$128)^D$20</f>
        <v/>
      </c>
      <c r="E10" s="761">
        <f>'Supuestos Generales'!$B$122*'Supuestos Generales'!$B$127*(1+'Supuestos Generales'!$B$128)^E$20</f>
        <v/>
      </c>
      <c r="F10" s="761">
        <f>'Supuestos Generales'!$B$122*'Supuestos Generales'!$B$127*(1+'Supuestos Generales'!$B$128)^F$20</f>
        <v/>
      </c>
      <c r="G10" s="761">
        <f>'Supuestos Generales'!$B$122*'Supuestos Generales'!$B$127*(1+'Supuestos Generales'!$B$128)^G$20</f>
        <v/>
      </c>
      <c r="H10" s="761">
        <f>'Supuestos Generales'!$B$122*'Supuestos Generales'!$B$127*(1+'Supuestos Generales'!$B$128)^H$20</f>
        <v/>
      </c>
      <c r="I10" s="761">
        <f>'Supuestos Generales'!$B$122*'Supuestos Generales'!$B$127*(1+'Supuestos Generales'!$B$128)^I$20</f>
        <v/>
      </c>
      <c r="J10" s="761">
        <f>'Supuestos Generales'!$B$122*'Supuestos Generales'!$B$127*(1+'Supuestos Generales'!$B$128)^J$20</f>
        <v/>
      </c>
      <c r="K10" s="761">
        <f>'Supuestos Generales'!$B$122*'Supuestos Generales'!$B$127*(1+'Supuestos Generales'!$B$128)^K$20</f>
        <v/>
      </c>
      <c r="L10" s="761">
        <f>'Supuestos Generales'!$B$122*'Supuestos Generales'!$B$127*(1+'Supuestos Generales'!$B$128)^L$20</f>
        <v/>
      </c>
      <c r="M10" s="761">
        <f>'Supuestos Generales'!$B$122*'Supuestos Generales'!$B$127*(1+'Supuestos Generales'!$B$128)^M$20</f>
        <v/>
      </c>
      <c r="N10" s="761">
        <f>'Supuestos Generales'!$B$122*'Supuestos Generales'!$B$127*(1+'Supuestos Generales'!$B$128)^N$20</f>
        <v/>
      </c>
      <c r="O10" s="761">
        <f>'Supuestos Generales'!$B$122*'Supuestos Generales'!$B$127*(1+'Supuestos Generales'!$B$128)^O$20</f>
        <v/>
      </c>
      <c r="P10" s="761">
        <f>'Supuestos Generales'!$B$122*'Supuestos Generales'!$B$127*(1+'Supuestos Generales'!$B$128)^P$20</f>
        <v/>
      </c>
      <c r="Q10" s="761">
        <f>'Supuestos Generales'!$B$122*'Supuestos Generales'!$B$127*(1+'Supuestos Generales'!$B$128)^Q$20</f>
        <v/>
      </c>
      <c r="R10" s="761">
        <f>'Supuestos Generales'!$B$122*'Supuestos Generales'!$B$127*(1+'Supuestos Generales'!$B$128)^R$20</f>
        <v/>
      </c>
      <c r="S10" s="761">
        <f>'Supuestos Generales'!$B$122*'Supuestos Generales'!$B$127*(1+'Supuestos Generales'!$B$128)^S$20</f>
        <v/>
      </c>
      <c r="T10" s="761">
        <f>'Supuestos Generales'!$B$122*'Supuestos Generales'!$B$127*(1+'Supuestos Generales'!$B$128)^T$20</f>
        <v/>
      </c>
      <c r="U10" s="761">
        <f>'Supuestos Generales'!$B$122*'Supuestos Generales'!$B$127*(1+'Supuestos Generales'!$B$128)^U$20</f>
        <v/>
      </c>
      <c r="V10" s="761">
        <f>'Supuestos Generales'!$B$122*'Supuestos Generales'!$B$127*(1+'Supuestos Generales'!$B$128)^V$20</f>
        <v/>
      </c>
      <c r="W10" s="761">
        <f>'Supuestos Generales'!$B$122*'Supuestos Generales'!$B$127*(1+'Supuestos Generales'!$B$128)^W$20</f>
        <v/>
      </c>
      <c r="X10" s="761">
        <f>'Supuestos Generales'!$B$122*'Supuestos Generales'!$B$127*(1+'Supuestos Generales'!$B$128)^X$20</f>
        <v/>
      </c>
      <c r="Y10" s="761">
        <f>'Supuestos Generales'!$B$122*'Supuestos Generales'!$B$127*(1+'Supuestos Generales'!$B$128)^Y$20</f>
        <v/>
      </c>
      <c r="Z10" s="761">
        <f>'Supuestos Generales'!$B$122*'Supuestos Generales'!$B$127*(1+'Supuestos Generales'!$B$128)^Z$20</f>
        <v/>
      </c>
      <c r="AA10" s="761">
        <f>'Supuestos Generales'!$B$122*'Supuestos Generales'!$B$127*(1+'Supuestos Generales'!$B$128)^AA$20</f>
        <v/>
      </c>
      <c r="AB10" s="761">
        <f>'Supuestos Generales'!$B$122*'Supuestos Generales'!$B$127*(1+'Supuestos Generales'!$B$128)^AB$20</f>
        <v/>
      </c>
      <c r="AC10" s="761">
        <f>'Supuestos Generales'!$B$122*'Supuestos Generales'!$B$127*(1+'Supuestos Generales'!$B$128)^AC$20</f>
        <v/>
      </c>
      <c r="AD10" s="761">
        <f>'Supuestos Generales'!$B$122*'Supuestos Generales'!$B$127*(1+'Supuestos Generales'!$B$128)^AD$20</f>
        <v/>
      </c>
      <c r="AE10" s="761">
        <f>'Supuestos Generales'!$B$122*'Supuestos Generales'!$B$127*(1+'Supuestos Generales'!$B$128)^AE$20</f>
        <v/>
      </c>
      <c r="AF10" s="761">
        <f>'Supuestos Generales'!$B$122*'Supuestos Generales'!$B$127*(1+'Supuestos Generales'!$B$128)^AF$20</f>
        <v/>
      </c>
      <c r="AG10" s="761">
        <f>'Supuestos Generales'!$B$122*'Supuestos Generales'!$B$127*(1+'Supuestos Generales'!$B$128)^AG$20</f>
        <v/>
      </c>
      <c r="AH10" s="761">
        <f>'Supuestos Generales'!$B$122*'Supuestos Generales'!$B$127*(1+'Supuestos Generales'!$B$128)^AH$20</f>
        <v/>
      </c>
      <c r="AI10" s="761">
        <f>'Supuestos Generales'!$B$122*'Supuestos Generales'!$B$127*(1+'Supuestos Generales'!$B$128)^AI$20</f>
        <v/>
      </c>
      <c r="AJ10" s="761">
        <f>'Supuestos Generales'!$B$122*'Supuestos Generales'!$B$127*(1+'Supuestos Generales'!$B$128)^AJ$20</f>
        <v/>
      </c>
      <c r="AK10" s="761">
        <f>'Supuestos Generales'!$B$122*'Supuestos Generales'!$B$127*(1+'Supuestos Generales'!$B$128)^AK$20</f>
        <v/>
      </c>
      <c r="AL10" s="761">
        <f>'Supuestos Generales'!$B$122*'Supuestos Generales'!$B$127*(1+'Supuestos Generales'!$B$128)^AL$20</f>
        <v/>
      </c>
      <c r="AM10" s="761">
        <f>'Supuestos Generales'!$B$122*'Supuestos Generales'!$B$127*(1+'Supuestos Generales'!$B$128)^AM$20</f>
        <v/>
      </c>
      <c r="AN10" s="761">
        <f>'Supuestos Generales'!$B$122*'Supuestos Generales'!$B$127*(1+'Supuestos Generales'!$B$128)^AN$20</f>
        <v/>
      </c>
      <c r="AO10" s="761">
        <f>'Supuestos Generales'!$B$122*'Supuestos Generales'!$B$127*(1+'Supuestos Generales'!$B$128)^AO$20</f>
        <v/>
      </c>
      <c r="AP10" s="761">
        <f>'Supuestos Generales'!$B$122*'Supuestos Generales'!$B$127*(1+'Supuestos Generales'!$B$128)^AP$20</f>
        <v/>
      </c>
      <c r="AQ10" s="761">
        <f>'Supuestos Generales'!$B$122*'Supuestos Generales'!$B$127*(1+'Supuestos Generales'!$B$128)^AQ$20</f>
        <v/>
      </c>
      <c r="AR10" s="761">
        <f>'Supuestos Generales'!$B$122*'Supuestos Generales'!$B$127*(1+'Supuestos Generales'!$B$128)^AR$20</f>
        <v/>
      </c>
      <c r="AS10" s="761">
        <f>'Supuestos Generales'!$B$122*'Supuestos Generales'!$B$127*(1+'Supuestos Generales'!$B$128)^AS$20</f>
        <v/>
      </c>
      <c r="AT10" s="761">
        <f>'Supuestos Generales'!$B$122*'Supuestos Generales'!$B$127*(1+'Supuestos Generales'!$B$128)^AT$20</f>
        <v/>
      </c>
      <c r="AU10" s="761">
        <f>'Supuestos Generales'!$B$122*'Supuestos Generales'!$B$127*(1+'Supuestos Generales'!$B$128)^AU$20</f>
        <v/>
      </c>
      <c r="AV10" s="761">
        <f>'Supuestos Generales'!$B$122*'Supuestos Generales'!$B$127*(1+'Supuestos Generales'!$B$128)^AV$20</f>
        <v/>
      </c>
      <c r="AW10" s="761">
        <f>'Supuestos Generales'!$B$122*'Supuestos Generales'!$B$127*(1+'Supuestos Generales'!$B$128)^AW$20</f>
        <v/>
      </c>
      <c r="AX10" s="761">
        <f>'Supuestos Generales'!$B$122*'Supuestos Generales'!$B$127*(1+'Supuestos Generales'!$B$128)^AX$20</f>
        <v/>
      </c>
      <c r="AY10" s="761">
        <f>'Supuestos Generales'!$B$122*'Supuestos Generales'!$B$127*(1+'Supuestos Generales'!$B$128)^AY$20</f>
        <v/>
      </c>
      <c r="AZ10" s="761">
        <f>'Supuestos Generales'!$B$122*'Supuestos Generales'!$B$127*(1+'Supuestos Generales'!$B$128)^AZ$20</f>
        <v/>
      </c>
      <c r="BA10" s="761">
        <f>'Supuestos Generales'!$B$122*'Supuestos Generales'!$B$127*(1+'Supuestos Generales'!$B$128)^BA$20</f>
        <v/>
      </c>
      <c r="BB10" s="761">
        <f>'Supuestos Generales'!$B$122*'Supuestos Generales'!$B$127*(1+'Supuestos Generales'!$B$128)^BB$20</f>
        <v/>
      </c>
      <c r="BC10" s="761">
        <f>'Supuestos Generales'!$B$122*'Supuestos Generales'!$B$127*(1+'Supuestos Generales'!$B$128)^BC$20</f>
        <v/>
      </c>
      <c r="BD10" s="761">
        <f>'Supuestos Generales'!$B$122*'Supuestos Generales'!$B$127*(1+'Supuestos Generales'!$B$128)^BD$20</f>
        <v/>
      </c>
      <c r="BE10" s="761">
        <f>'Supuestos Generales'!$B$122*'Supuestos Generales'!$B$127*(1+'Supuestos Generales'!$B$128)^BE$20</f>
        <v/>
      </c>
      <c r="BF10" s="761">
        <f>'Supuestos Generales'!$B$122*'Supuestos Generales'!$B$127*(1+'Supuestos Generales'!$B$128)^BF$20</f>
        <v/>
      </c>
      <c r="BG10" s="761">
        <f>'Supuestos Generales'!$B$122*'Supuestos Generales'!$B$127*(1+'Supuestos Generales'!$B$128)^BG$20</f>
        <v/>
      </c>
      <c r="BH10" s="761">
        <f>'Supuestos Generales'!$B$122*'Supuestos Generales'!$B$127*(1+'Supuestos Generales'!$B$128)^BH$20</f>
        <v/>
      </c>
      <c r="BI10" s="761">
        <f>'Supuestos Generales'!$B$122*'Supuestos Generales'!$B$127*(1+'Supuestos Generales'!$B$128)^BI$20</f>
        <v/>
      </c>
      <c r="BJ10" s="762">
        <f>SUM(B10:BI10)</f>
        <v/>
      </c>
    </row>
    <row r="11">
      <c r="A11" s="60" t="inlineStr">
        <is>
          <t>Marketing base</t>
        </is>
      </c>
      <c r="B11" s="761">
        <f>'Supuestos Generales'!$B$123*'Supuestos Generales'!$B$127*(1+'Supuestos Generales'!$B$128)^B$20</f>
        <v/>
      </c>
      <c r="C11" s="761">
        <f>'Supuestos Generales'!$B$123*'Supuestos Generales'!$B$127*(1+'Supuestos Generales'!$B$128)^C$20</f>
        <v/>
      </c>
      <c r="D11" s="761">
        <f>'Supuestos Generales'!$B$123*'Supuestos Generales'!$B$127*(1+'Supuestos Generales'!$B$128)^D$20</f>
        <v/>
      </c>
      <c r="E11" s="761">
        <f>'Supuestos Generales'!$B$123*'Supuestos Generales'!$B$127*(1+'Supuestos Generales'!$B$128)^E$20</f>
        <v/>
      </c>
      <c r="F11" s="761">
        <f>'Supuestos Generales'!$B$123*'Supuestos Generales'!$B$127*(1+'Supuestos Generales'!$B$128)^F$20</f>
        <v/>
      </c>
      <c r="G11" s="761">
        <f>'Supuestos Generales'!$B$123*'Supuestos Generales'!$B$127*(1+'Supuestos Generales'!$B$128)^G$20</f>
        <v/>
      </c>
      <c r="H11" s="761">
        <f>'Supuestos Generales'!$B$123*'Supuestos Generales'!$B$127*(1+'Supuestos Generales'!$B$128)^H$20</f>
        <v/>
      </c>
      <c r="I11" s="761">
        <f>'Supuestos Generales'!$B$123*'Supuestos Generales'!$B$127*(1+'Supuestos Generales'!$B$128)^I$20</f>
        <v/>
      </c>
      <c r="J11" s="761">
        <f>'Supuestos Generales'!$B$123*'Supuestos Generales'!$B$127*(1+'Supuestos Generales'!$B$128)^J$20</f>
        <v/>
      </c>
      <c r="K11" s="761">
        <f>'Supuestos Generales'!$B$123*'Supuestos Generales'!$B$127*(1+'Supuestos Generales'!$B$128)^K$20</f>
        <v/>
      </c>
      <c r="L11" s="761">
        <f>'Supuestos Generales'!$B$123*'Supuestos Generales'!$B$127*(1+'Supuestos Generales'!$B$128)^L$20</f>
        <v/>
      </c>
      <c r="M11" s="761">
        <f>'Supuestos Generales'!$B$123*'Supuestos Generales'!$B$127*(1+'Supuestos Generales'!$B$128)^M$20</f>
        <v/>
      </c>
      <c r="N11" s="761">
        <f>'Supuestos Generales'!$B$123*'Supuestos Generales'!$B$127*(1+'Supuestos Generales'!$B$128)^N$20</f>
        <v/>
      </c>
      <c r="O11" s="761">
        <f>'Supuestos Generales'!$B$123*'Supuestos Generales'!$B$127*(1+'Supuestos Generales'!$B$128)^O$20</f>
        <v/>
      </c>
      <c r="P11" s="761">
        <f>'Supuestos Generales'!$B$123*'Supuestos Generales'!$B$127*(1+'Supuestos Generales'!$B$128)^P$20</f>
        <v/>
      </c>
      <c r="Q11" s="761">
        <f>'Supuestos Generales'!$B$123*'Supuestos Generales'!$B$127*(1+'Supuestos Generales'!$B$128)^Q$20</f>
        <v/>
      </c>
      <c r="R11" s="761">
        <f>'Supuestos Generales'!$B$123*'Supuestos Generales'!$B$127*(1+'Supuestos Generales'!$B$128)^R$20</f>
        <v/>
      </c>
      <c r="S11" s="761">
        <f>'Supuestos Generales'!$B$123*'Supuestos Generales'!$B$127*(1+'Supuestos Generales'!$B$128)^S$20</f>
        <v/>
      </c>
      <c r="T11" s="761">
        <f>'Supuestos Generales'!$B$123*'Supuestos Generales'!$B$127*(1+'Supuestos Generales'!$B$128)^T$20</f>
        <v/>
      </c>
      <c r="U11" s="761">
        <f>'Supuestos Generales'!$B$123*'Supuestos Generales'!$B$127*(1+'Supuestos Generales'!$B$128)^U$20</f>
        <v/>
      </c>
      <c r="V11" s="761">
        <f>'Supuestos Generales'!$B$123*'Supuestos Generales'!$B$127*(1+'Supuestos Generales'!$B$128)^V$20</f>
        <v/>
      </c>
      <c r="W11" s="761">
        <f>'Supuestos Generales'!$B$123*'Supuestos Generales'!$B$127*(1+'Supuestos Generales'!$B$128)^W$20</f>
        <v/>
      </c>
      <c r="X11" s="761">
        <f>'Supuestos Generales'!$B$123*'Supuestos Generales'!$B$127*(1+'Supuestos Generales'!$B$128)^X$20</f>
        <v/>
      </c>
      <c r="Y11" s="761">
        <f>'Supuestos Generales'!$B$123*'Supuestos Generales'!$B$127*(1+'Supuestos Generales'!$B$128)^Y$20</f>
        <v/>
      </c>
      <c r="Z11" s="761">
        <f>'Supuestos Generales'!$B$123*'Supuestos Generales'!$B$127*(1+'Supuestos Generales'!$B$128)^Z$20</f>
        <v/>
      </c>
      <c r="AA11" s="761">
        <f>'Supuestos Generales'!$B$123*'Supuestos Generales'!$B$127*(1+'Supuestos Generales'!$B$128)^AA$20</f>
        <v/>
      </c>
      <c r="AB11" s="761">
        <f>'Supuestos Generales'!$B$123*'Supuestos Generales'!$B$127*(1+'Supuestos Generales'!$B$128)^AB$20</f>
        <v/>
      </c>
      <c r="AC11" s="761">
        <f>'Supuestos Generales'!$B$123*'Supuestos Generales'!$B$127*(1+'Supuestos Generales'!$B$128)^AC$20</f>
        <v/>
      </c>
      <c r="AD11" s="761">
        <f>'Supuestos Generales'!$B$123*'Supuestos Generales'!$B$127*(1+'Supuestos Generales'!$B$128)^AD$20</f>
        <v/>
      </c>
      <c r="AE11" s="761">
        <f>'Supuestos Generales'!$B$123*'Supuestos Generales'!$B$127*(1+'Supuestos Generales'!$B$128)^AE$20</f>
        <v/>
      </c>
      <c r="AF11" s="761">
        <f>'Supuestos Generales'!$B$123*'Supuestos Generales'!$B$127*(1+'Supuestos Generales'!$B$128)^AF$20</f>
        <v/>
      </c>
      <c r="AG11" s="761">
        <f>'Supuestos Generales'!$B$123*'Supuestos Generales'!$B$127*(1+'Supuestos Generales'!$B$128)^AG$20</f>
        <v/>
      </c>
      <c r="AH11" s="761">
        <f>'Supuestos Generales'!$B$123*'Supuestos Generales'!$B$127*(1+'Supuestos Generales'!$B$128)^AH$20</f>
        <v/>
      </c>
      <c r="AI11" s="761">
        <f>'Supuestos Generales'!$B$123*'Supuestos Generales'!$B$127*(1+'Supuestos Generales'!$B$128)^AI$20</f>
        <v/>
      </c>
      <c r="AJ11" s="761">
        <f>'Supuestos Generales'!$B$123*'Supuestos Generales'!$B$127*(1+'Supuestos Generales'!$B$128)^AJ$20</f>
        <v/>
      </c>
      <c r="AK11" s="761">
        <f>'Supuestos Generales'!$B$123*'Supuestos Generales'!$B$127*(1+'Supuestos Generales'!$B$128)^AK$20</f>
        <v/>
      </c>
      <c r="AL11" s="761">
        <f>'Supuestos Generales'!$B$123*'Supuestos Generales'!$B$127*(1+'Supuestos Generales'!$B$128)^AL$20</f>
        <v/>
      </c>
      <c r="AM11" s="761">
        <f>'Supuestos Generales'!$B$123*'Supuestos Generales'!$B$127*(1+'Supuestos Generales'!$B$128)^AM$20</f>
        <v/>
      </c>
      <c r="AN11" s="761">
        <f>'Supuestos Generales'!$B$123*'Supuestos Generales'!$B$127*(1+'Supuestos Generales'!$B$128)^AN$20</f>
        <v/>
      </c>
      <c r="AO11" s="761">
        <f>'Supuestos Generales'!$B$123*'Supuestos Generales'!$B$127*(1+'Supuestos Generales'!$B$128)^AO$20</f>
        <v/>
      </c>
      <c r="AP11" s="761">
        <f>'Supuestos Generales'!$B$123*'Supuestos Generales'!$B$127*(1+'Supuestos Generales'!$B$128)^AP$20</f>
        <v/>
      </c>
      <c r="AQ11" s="761">
        <f>'Supuestos Generales'!$B$123*'Supuestos Generales'!$B$127*(1+'Supuestos Generales'!$B$128)^AQ$20</f>
        <v/>
      </c>
      <c r="AR11" s="761">
        <f>'Supuestos Generales'!$B$123*'Supuestos Generales'!$B$127*(1+'Supuestos Generales'!$B$128)^AR$20</f>
        <v/>
      </c>
      <c r="AS11" s="761">
        <f>'Supuestos Generales'!$B$123*'Supuestos Generales'!$B$127*(1+'Supuestos Generales'!$B$128)^AS$20</f>
        <v/>
      </c>
      <c r="AT11" s="761">
        <f>'Supuestos Generales'!$B$123*'Supuestos Generales'!$B$127*(1+'Supuestos Generales'!$B$128)^AT$20</f>
        <v/>
      </c>
      <c r="AU11" s="761">
        <f>'Supuestos Generales'!$B$123*'Supuestos Generales'!$B$127*(1+'Supuestos Generales'!$B$128)^AU$20</f>
        <v/>
      </c>
      <c r="AV11" s="761">
        <f>'Supuestos Generales'!$B$123*'Supuestos Generales'!$B$127*(1+'Supuestos Generales'!$B$128)^AV$20</f>
        <v/>
      </c>
      <c r="AW11" s="761">
        <f>'Supuestos Generales'!$B$123*'Supuestos Generales'!$B$127*(1+'Supuestos Generales'!$B$128)^AW$20</f>
        <v/>
      </c>
      <c r="AX11" s="761">
        <f>'Supuestos Generales'!$B$123*'Supuestos Generales'!$B$127*(1+'Supuestos Generales'!$B$128)^AX$20</f>
        <v/>
      </c>
      <c r="AY11" s="761">
        <f>'Supuestos Generales'!$B$123*'Supuestos Generales'!$B$127*(1+'Supuestos Generales'!$B$128)^AY$20</f>
        <v/>
      </c>
      <c r="AZ11" s="761">
        <f>'Supuestos Generales'!$B$123*'Supuestos Generales'!$B$127*(1+'Supuestos Generales'!$B$128)^AZ$20</f>
        <v/>
      </c>
      <c r="BA11" s="761">
        <f>'Supuestos Generales'!$B$123*'Supuestos Generales'!$B$127*(1+'Supuestos Generales'!$B$128)^BA$20</f>
        <v/>
      </c>
      <c r="BB11" s="761">
        <f>'Supuestos Generales'!$B$123*'Supuestos Generales'!$B$127*(1+'Supuestos Generales'!$B$128)^BB$20</f>
        <v/>
      </c>
      <c r="BC11" s="761">
        <f>'Supuestos Generales'!$B$123*'Supuestos Generales'!$B$127*(1+'Supuestos Generales'!$B$128)^BC$20</f>
        <v/>
      </c>
      <c r="BD11" s="761">
        <f>'Supuestos Generales'!$B$123*'Supuestos Generales'!$B$127*(1+'Supuestos Generales'!$B$128)^BD$20</f>
        <v/>
      </c>
      <c r="BE11" s="761">
        <f>'Supuestos Generales'!$B$123*'Supuestos Generales'!$B$127*(1+'Supuestos Generales'!$B$128)^BE$20</f>
        <v/>
      </c>
      <c r="BF11" s="761">
        <f>'Supuestos Generales'!$B$123*'Supuestos Generales'!$B$127*(1+'Supuestos Generales'!$B$128)^BF$20</f>
        <v/>
      </c>
      <c r="BG11" s="761">
        <f>'Supuestos Generales'!$B$123*'Supuestos Generales'!$B$127*(1+'Supuestos Generales'!$B$128)^BG$20</f>
        <v/>
      </c>
      <c r="BH11" s="761">
        <f>'Supuestos Generales'!$B$123*'Supuestos Generales'!$B$127*(1+'Supuestos Generales'!$B$128)^BH$20</f>
        <v/>
      </c>
      <c r="BI11" s="761">
        <f>'Supuestos Generales'!$B$123*'Supuestos Generales'!$B$127*(1+'Supuestos Generales'!$B$128)^BI$20</f>
        <v/>
      </c>
      <c r="BJ11" s="762">
        <f>SUM(B11:BI11)</f>
        <v/>
      </c>
    </row>
    <row r="12">
      <c r="A12" s="60" t="inlineStr">
        <is>
          <t>Otros gastos fijos</t>
        </is>
      </c>
      <c r="B12" s="761">
        <f>'Supuestos Generales'!$B$124*'Supuestos Generales'!$B$127*(1+'Supuestos Generales'!$B$128)^B$20</f>
        <v/>
      </c>
      <c r="C12" s="761">
        <f>'Supuestos Generales'!$B$124*'Supuestos Generales'!$B$127*(1+'Supuestos Generales'!$B$128)^C$20</f>
        <v/>
      </c>
      <c r="D12" s="761">
        <f>'Supuestos Generales'!$B$124*'Supuestos Generales'!$B$127*(1+'Supuestos Generales'!$B$128)^D$20</f>
        <v/>
      </c>
      <c r="E12" s="761">
        <f>'Supuestos Generales'!$B$124*'Supuestos Generales'!$B$127*(1+'Supuestos Generales'!$B$128)^E$20</f>
        <v/>
      </c>
      <c r="F12" s="761">
        <f>'Supuestos Generales'!$B$124*'Supuestos Generales'!$B$127*(1+'Supuestos Generales'!$B$128)^F$20</f>
        <v/>
      </c>
      <c r="G12" s="761">
        <f>'Supuestos Generales'!$B$124*'Supuestos Generales'!$B$127*(1+'Supuestos Generales'!$B$128)^G$20</f>
        <v/>
      </c>
      <c r="H12" s="761">
        <f>'Supuestos Generales'!$B$124*'Supuestos Generales'!$B$127*(1+'Supuestos Generales'!$B$128)^H$20</f>
        <v/>
      </c>
      <c r="I12" s="761">
        <f>'Supuestos Generales'!$B$124*'Supuestos Generales'!$B$127*(1+'Supuestos Generales'!$B$128)^I$20</f>
        <v/>
      </c>
      <c r="J12" s="761">
        <f>'Supuestos Generales'!$B$124*'Supuestos Generales'!$B$127*(1+'Supuestos Generales'!$B$128)^J$20</f>
        <v/>
      </c>
      <c r="K12" s="761">
        <f>'Supuestos Generales'!$B$124*'Supuestos Generales'!$B$127*(1+'Supuestos Generales'!$B$128)^K$20</f>
        <v/>
      </c>
      <c r="L12" s="761">
        <f>'Supuestos Generales'!$B$124*'Supuestos Generales'!$B$127*(1+'Supuestos Generales'!$B$128)^L$20</f>
        <v/>
      </c>
      <c r="M12" s="761">
        <f>'Supuestos Generales'!$B$124*'Supuestos Generales'!$B$127*(1+'Supuestos Generales'!$B$128)^M$20</f>
        <v/>
      </c>
      <c r="N12" s="761">
        <f>'Supuestos Generales'!$B$124*'Supuestos Generales'!$B$127*(1+'Supuestos Generales'!$B$128)^N$20</f>
        <v/>
      </c>
      <c r="O12" s="761">
        <f>'Supuestos Generales'!$B$124*'Supuestos Generales'!$B$127*(1+'Supuestos Generales'!$B$128)^O$20</f>
        <v/>
      </c>
      <c r="P12" s="761">
        <f>'Supuestos Generales'!$B$124*'Supuestos Generales'!$B$127*(1+'Supuestos Generales'!$B$128)^P$20</f>
        <v/>
      </c>
      <c r="Q12" s="761">
        <f>'Supuestos Generales'!$B$124*'Supuestos Generales'!$B$127*(1+'Supuestos Generales'!$B$128)^Q$20</f>
        <v/>
      </c>
      <c r="R12" s="761">
        <f>'Supuestos Generales'!$B$124*'Supuestos Generales'!$B$127*(1+'Supuestos Generales'!$B$128)^R$20</f>
        <v/>
      </c>
      <c r="S12" s="761">
        <f>'Supuestos Generales'!$B$124*'Supuestos Generales'!$B$127*(1+'Supuestos Generales'!$B$128)^S$20</f>
        <v/>
      </c>
      <c r="T12" s="761">
        <f>'Supuestos Generales'!$B$124*'Supuestos Generales'!$B$127*(1+'Supuestos Generales'!$B$128)^T$20</f>
        <v/>
      </c>
      <c r="U12" s="761">
        <f>'Supuestos Generales'!$B$124*'Supuestos Generales'!$B$127*(1+'Supuestos Generales'!$B$128)^U$20</f>
        <v/>
      </c>
      <c r="V12" s="761">
        <f>'Supuestos Generales'!$B$124*'Supuestos Generales'!$B$127*(1+'Supuestos Generales'!$B$128)^V$20</f>
        <v/>
      </c>
      <c r="W12" s="761">
        <f>'Supuestos Generales'!$B$124*'Supuestos Generales'!$B$127*(1+'Supuestos Generales'!$B$128)^W$20</f>
        <v/>
      </c>
      <c r="X12" s="761">
        <f>'Supuestos Generales'!$B$124*'Supuestos Generales'!$B$127*(1+'Supuestos Generales'!$B$128)^X$20</f>
        <v/>
      </c>
      <c r="Y12" s="761">
        <f>'Supuestos Generales'!$B$124*'Supuestos Generales'!$B$127*(1+'Supuestos Generales'!$B$128)^Y$20</f>
        <v/>
      </c>
      <c r="Z12" s="761">
        <f>'Supuestos Generales'!$B$124*'Supuestos Generales'!$B$127*(1+'Supuestos Generales'!$B$128)^Z$20</f>
        <v/>
      </c>
      <c r="AA12" s="761">
        <f>'Supuestos Generales'!$B$124*'Supuestos Generales'!$B$127*(1+'Supuestos Generales'!$B$128)^AA$20</f>
        <v/>
      </c>
      <c r="AB12" s="761">
        <f>'Supuestos Generales'!$B$124*'Supuestos Generales'!$B$127*(1+'Supuestos Generales'!$B$128)^AB$20</f>
        <v/>
      </c>
      <c r="AC12" s="761">
        <f>'Supuestos Generales'!$B$124*'Supuestos Generales'!$B$127*(1+'Supuestos Generales'!$B$128)^AC$20</f>
        <v/>
      </c>
      <c r="AD12" s="761">
        <f>'Supuestos Generales'!$B$124*'Supuestos Generales'!$B$127*(1+'Supuestos Generales'!$B$128)^AD$20</f>
        <v/>
      </c>
      <c r="AE12" s="761">
        <f>'Supuestos Generales'!$B$124*'Supuestos Generales'!$B$127*(1+'Supuestos Generales'!$B$128)^AE$20</f>
        <v/>
      </c>
      <c r="AF12" s="761">
        <f>'Supuestos Generales'!$B$124*'Supuestos Generales'!$B$127*(1+'Supuestos Generales'!$B$128)^AF$20</f>
        <v/>
      </c>
      <c r="AG12" s="761">
        <f>'Supuestos Generales'!$B$124*'Supuestos Generales'!$B$127*(1+'Supuestos Generales'!$B$128)^AG$20</f>
        <v/>
      </c>
      <c r="AH12" s="761">
        <f>'Supuestos Generales'!$B$124*'Supuestos Generales'!$B$127*(1+'Supuestos Generales'!$B$128)^AH$20</f>
        <v/>
      </c>
      <c r="AI12" s="761">
        <f>'Supuestos Generales'!$B$124*'Supuestos Generales'!$B$127*(1+'Supuestos Generales'!$B$128)^AI$20</f>
        <v/>
      </c>
      <c r="AJ12" s="761">
        <f>'Supuestos Generales'!$B$124*'Supuestos Generales'!$B$127*(1+'Supuestos Generales'!$B$128)^AJ$20</f>
        <v/>
      </c>
      <c r="AK12" s="761">
        <f>'Supuestos Generales'!$B$124*'Supuestos Generales'!$B$127*(1+'Supuestos Generales'!$B$128)^AK$20</f>
        <v/>
      </c>
      <c r="AL12" s="761">
        <f>'Supuestos Generales'!$B$124*'Supuestos Generales'!$B$127*(1+'Supuestos Generales'!$B$128)^AL$20</f>
        <v/>
      </c>
      <c r="AM12" s="761">
        <f>'Supuestos Generales'!$B$124*'Supuestos Generales'!$B$127*(1+'Supuestos Generales'!$B$128)^AM$20</f>
        <v/>
      </c>
      <c r="AN12" s="761">
        <f>'Supuestos Generales'!$B$124*'Supuestos Generales'!$B$127*(1+'Supuestos Generales'!$B$128)^AN$20</f>
        <v/>
      </c>
      <c r="AO12" s="761">
        <f>'Supuestos Generales'!$B$124*'Supuestos Generales'!$B$127*(1+'Supuestos Generales'!$B$128)^AO$20</f>
        <v/>
      </c>
      <c r="AP12" s="761">
        <f>'Supuestos Generales'!$B$124*'Supuestos Generales'!$B$127*(1+'Supuestos Generales'!$B$128)^AP$20</f>
        <v/>
      </c>
      <c r="AQ12" s="761">
        <f>'Supuestos Generales'!$B$124*'Supuestos Generales'!$B$127*(1+'Supuestos Generales'!$B$128)^AQ$20</f>
        <v/>
      </c>
      <c r="AR12" s="761">
        <f>'Supuestos Generales'!$B$124*'Supuestos Generales'!$B$127*(1+'Supuestos Generales'!$B$128)^AR$20</f>
        <v/>
      </c>
      <c r="AS12" s="761">
        <f>'Supuestos Generales'!$B$124*'Supuestos Generales'!$B$127*(1+'Supuestos Generales'!$B$128)^AS$20</f>
        <v/>
      </c>
      <c r="AT12" s="761">
        <f>'Supuestos Generales'!$B$124*'Supuestos Generales'!$B$127*(1+'Supuestos Generales'!$B$128)^AT$20</f>
        <v/>
      </c>
      <c r="AU12" s="761">
        <f>'Supuestos Generales'!$B$124*'Supuestos Generales'!$B$127*(1+'Supuestos Generales'!$B$128)^AU$20</f>
        <v/>
      </c>
      <c r="AV12" s="761">
        <f>'Supuestos Generales'!$B$124*'Supuestos Generales'!$B$127*(1+'Supuestos Generales'!$B$128)^AV$20</f>
        <v/>
      </c>
      <c r="AW12" s="761">
        <f>'Supuestos Generales'!$B$124*'Supuestos Generales'!$B$127*(1+'Supuestos Generales'!$B$128)^AW$20</f>
        <v/>
      </c>
      <c r="AX12" s="761">
        <f>'Supuestos Generales'!$B$124*'Supuestos Generales'!$B$127*(1+'Supuestos Generales'!$B$128)^AX$20</f>
        <v/>
      </c>
      <c r="AY12" s="761">
        <f>'Supuestos Generales'!$B$124*'Supuestos Generales'!$B$127*(1+'Supuestos Generales'!$B$128)^AY$20</f>
        <v/>
      </c>
      <c r="AZ12" s="761">
        <f>'Supuestos Generales'!$B$124*'Supuestos Generales'!$B$127*(1+'Supuestos Generales'!$B$128)^AZ$20</f>
        <v/>
      </c>
      <c r="BA12" s="761">
        <f>'Supuestos Generales'!$B$124*'Supuestos Generales'!$B$127*(1+'Supuestos Generales'!$B$128)^BA$20</f>
        <v/>
      </c>
      <c r="BB12" s="761">
        <f>'Supuestos Generales'!$B$124*'Supuestos Generales'!$B$127*(1+'Supuestos Generales'!$B$128)^BB$20</f>
        <v/>
      </c>
      <c r="BC12" s="761">
        <f>'Supuestos Generales'!$B$124*'Supuestos Generales'!$B$127*(1+'Supuestos Generales'!$B$128)^BC$20</f>
        <v/>
      </c>
      <c r="BD12" s="761">
        <f>'Supuestos Generales'!$B$124*'Supuestos Generales'!$B$127*(1+'Supuestos Generales'!$B$128)^BD$20</f>
        <v/>
      </c>
      <c r="BE12" s="761">
        <f>'Supuestos Generales'!$B$124*'Supuestos Generales'!$B$127*(1+'Supuestos Generales'!$B$128)^BE$20</f>
        <v/>
      </c>
      <c r="BF12" s="761">
        <f>'Supuestos Generales'!$B$124*'Supuestos Generales'!$B$127*(1+'Supuestos Generales'!$B$128)^BF$20</f>
        <v/>
      </c>
      <c r="BG12" s="761">
        <f>'Supuestos Generales'!$B$124*'Supuestos Generales'!$B$127*(1+'Supuestos Generales'!$B$128)^BG$20</f>
        <v/>
      </c>
      <c r="BH12" s="761">
        <f>'Supuestos Generales'!$B$124*'Supuestos Generales'!$B$127*(1+'Supuestos Generales'!$B$128)^BH$20</f>
        <v/>
      </c>
      <c r="BI12" s="761">
        <f>'Supuestos Generales'!$B$124*'Supuestos Generales'!$B$127*(1+'Supuestos Generales'!$B$128)^BI$20</f>
        <v/>
      </c>
      <c r="BJ12" s="762">
        <f>SUM(B12:BI12)</f>
        <v/>
      </c>
    </row>
    <row r="13">
      <c r="A13" s="60" t="inlineStr">
        <is>
          <t>Gerente General</t>
        </is>
      </c>
      <c r="B13">
        <f>MIN(15000, 3000 + MAX(0, FLOOR(Onboarding!B12/100, 1)) * 1000)</f>
        <v/>
      </c>
      <c r="C13">
        <f>MIN(15000, 3000 + MAX(0, FLOOR(Onboarding!C12/100, 1)) * 1000)</f>
        <v/>
      </c>
      <c r="D13">
        <f>MIN(15000, 3000 + MAX(0, FLOOR(Onboarding!D12/100, 1)) * 1000)</f>
        <v/>
      </c>
      <c r="E13">
        <f>MIN(15000, 3000 + MAX(0, FLOOR(Onboarding!E12/100, 1)) * 1000)</f>
        <v/>
      </c>
      <c r="F13">
        <f>MIN(15000, 3000 + MAX(0, FLOOR(Onboarding!F12/100, 1)) * 1000)</f>
        <v/>
      </c>
      <c r="G13">
        <f>MIN(15000, 3000 + MAX(0, FLOOR(Onboarding!G12/100, 1)) * 1000)</f>
        <v/>
      </c>
      <c r="H13">
        <f>MIN(15000, 3000 + MAX(0, FLOOR(Onboarding!H12/100, 1)) * 1000)</f>
        <v/>
      </c>
      <c r="I13">
        <f>MIN(15000, 3000 + MAX(0, FLOOR(Onboarding!I12/100, 1)) * 1000)</f>
        <v/>
      </c>
      <c r="J13">
        <f>MIN(15000, 3000 + MAX(0, FLOOR(Onboarding!J12/100, 1)) * 1000)</f>
        <v/>
      </c>
      <c r="K13">
        <f>MIN(15000, 3000 + MAX(0, FLOOR(Onboarding!K12/100, 1)) * 1000)</f>
        <v/>
      </c>
      <c r="L13">
        <f>MIN(15000, 3000 + MAX(0, FLOOR(Onboarding!L12/100, 1)) * 1000)</f>
        <v/>
      </c>
      <c r="M13">
        <f>MIN(15000, 3000 + MAX(0, FLOOR(Onboarding!M12/100, 1)) * 1000)</f>
        <v/>
      </c>
      <c r="N13">
        <f>MIN(15000, 3000 + MAX(0, FLOOR(Onboarding!N12/100, 1)) * 1000)</f>
        <v/>
      </c>
      <c r="O13">
        <f>MIN(15000, 3000 + MAX(0, FLOOR(Onboarding!O12/100, 1)) * 1000)</f>
        <v/>
      </c>
      <c r="P13">
        <f>MIN(15000, 3000 + MAX(0, FLOOR(Onboarding!P12/100, 1)) * 1000)</f>
        <v/>
      </c>
      <c r="Q13">
        <f>MIN(15000, 3000 + MAX(0, FLOOR(Onboarding!Q12/100, 1)) * 1000)</f>
        <v/>
      </c>
      <c r="R13">
        <f>MIN(15000, 3000 + MAX(0, FLOOR(Onboarding!R12/100, 1)) * 1000)</f>
        <v/>
      </c>
      <c r="S13">
        <f>MIN(15000, 3000 + MAX(0, FLOOR(Onboarding!S12/100, 1)) * 1000)</f>
        <v/>
      </c>
      <c r="T13">
        <f>MIN(15000, 3000 + MAX(0, FLOOR(Onboarding!T12/100, 1)) * 1000)</f>
        <v/>
      </c>
      <c r="U13">
        <f>MIN(15000, 3000 + MAX(0, FLOOR(Onboarding!U12/100, 1)) * 1000)</f>
        <v/>
      </c>
      <c r="V13">
        <f>MIN(15000, 3000 + MAX(0, FLOOR(Onboarding!V12/100, 1)) * 1000)</f>
        <v/>
      </c>
      <c r="W13">
        <f>MIN(15000, 3000 + MAX(0, FLOOR(Onboarding!W12/100, 1)) * 1000)</f>
        <v/>
      </c>
      <c r="X13">
        <f>MIN(15000, 3000 + MAX(0, FLOOR(Onboarding!X12/100, 1)) * 1000)</f>
        <v/>
      </c>
      <c r="Y13">
        <f>MIN(15000, 3000 + MAX(0, FLOOR(Onboarding!Y12/100, 1)) * 1000)</f>
        <v/>
      </c>
      <c r="Z13">
        <f>MIN(15000, 3000 + MAX(0, FLOOR(Onboarding!Z12/100, 1)) * 1000)</f>
        <v/>
      </c>
      <c r="AA13">
        <f>MIN(15000, 3000 + MAX(0, FLOOR(Onboarding!AA12/100, 1)) * 1000)</f>
        <v/>
      </c>
      <c r="AB13">
        <f>MIN(15000, 3000 + MAX(0, FLOOR(Onboarding!AB12/100, 1)) * 1000)</f>
        <v/>
      </c>
      <c r="AC13">
        <f>MIN(15000, 3000 + MAX(0, FLOOR(Onboarding!AC12/100, 1)) * 1000)</f>
        <v/>
      </c>
      <c r="AD13">
        <f>MIN(15000, 3000 + MAX(0, FLOOR(Onboarding!AD12/100, 1)) * 1000)</f>
        <v/>
      </c>
      <c r="AE13">
        <f>MIN(15000, 3000 + MAX(0, FLOOR(Onboarding!AE12/100, 1)) * 1000)</f>
        <v/>
      </c>
      <c r="AF13">
        <f>MIN(15000, 3000 + MAX(0, FLOOR(Onboarding!AF12/100, 1)) * 1000)</f>
        <v/>
      </c>
      <c r="AG13">
        <f>MIN(15000, 3000 + MAX(0, FLOOR(Onboarding!AG12/100, 1)) * 1000)</f>
        <v/>
      </c>
      <c r="AH13">
        <f>MIN(15000, 3000 + MAX(0, FLOOR(Onboarding!AH12/100, 1)) * 1000)</f>
        <v/>
      </c>
      <c r="AI13">
        <f>MIN(15000, 3000 + MAX(0, FLOOR(Onboarding!AI12/100, 1)) * 1000)</f>
        <v/>
      </c>
      <c r="AJ13">
        <f>MIN(15000, 3000 + MAX(0, FLOOR(Onboarding!AJ12/100, 1)) * 1000)</f>
        <v/>
      </c>
      <c r="AK13">
        <f>MIN(15000, 3000 + MAX(0, FLOOR(Onboarding!AK12/100, 1)) * 1000)</f>
        <v/>
      </c>
      <c r="AL13">
        <f>MIN(15000, 3000 + MAX(0, FLOOR(Onboarding!AL12/100, 1)) * 1000)</f>
        <v/>
      </c>
      <c r="AM13">
        <f>MIN(15000, 3000 + MAX(0, FLOOR(Onboarding!AM12/100, 1)) * 1000)</f>
        <v/>
      </c>
      <c r="AN13">
        <f>MIN(15000, 3000 + MAX(0, FLOOR(Onboarding!AN12/100, 1)) * 1000)</f>
        <v/>
      </c>
      <c r="AO13">
        <f>MIN(15000, 3000 + MAX(0, FLOOR(Onboarding!AO12/100, 1)) * 1000)</f>
        <v/>
      </c>
      <c r="AP13">
        <f>MIN(15000, 3000 + MAX(0, FLOOR(Onboarding!AP12/100, 1)) * 1000)</f>
        <v/>
      </c>
      <c r="AQ13">
        <f>MIN(15000, 3000 + MAX(0, FLOOR(Onboarding!AQ12/100, 1)) * 1000)</f>
        <v/>
      </c>
      <c r="AR13">
        <f>MIN(15000, 3000 + MAX(0, FLOOR(Onboarding!AR12/100, 1)) * 1000)</f>
        <v/>
      </c>
      <c r="AS13">
        <f>MIN(15000, 3000 + MAX(0, FLOOR(Onboarding!AS12/100, 1)) * 1000)</f>
        <v/>
      </c>
      <c r="AT13">
        <f>MIN(15000, 3000 + MAX(0, FLOOR(Onboarding!AT12/100, 1)) * 1000)</f>
        <v/>
      </c>
      <c r="AU13">
        <f>MIN(15000, 3000 + MAX(0, FLOOR(Onboarding!AU12/100, 1)) * 1000)</f>
        <v/>
      </c>
      <c r="AV13">
        <f>MIN(15000, 3000 + MAX(0, FLOOR(Onboarding!AV12/100, 1)) * 1000)</f>
        <v/>
      </c>
      <c r="AW13">
        <f>MIN(15000, 3000 + MAX(0, FLOOR(Onboarding!AW12/100, 1)) * 1000)</f>
        <v/>
      </c>
      <c r="AX13">
        <f>MIN(15000, 3000 + MAX(0, FLOOR(Onboarding!AX12/100, 1)) * 1000)</f>
        <v/>
      </c>
      <c r="AY13">
        <f>MIN(15000, 3000 + MAX(0, FLOOR(Onboarding!AY12/100, 1)) * 1000)</f>
        <v/>
      </c>
      <c r="AZ13">
        <f>MIN(15000, 3000 + MAX(0, FLOOR(Onboarding!AZ12/100, 1)) * 1000)</f>
        <v/>
      </c>
      <c r="BA13">
        <f>MIN(15000, 3000 + MAX(0, FLOOR(Onboarding!BA12/100, 1)) * 1000)</f>
        <v/>
      </c>
      <c r="BB13">
        <f>MIN(15000, 3000 + MAX(0, FLOOR(Onboarding!BB12/100, 1)) * 1000)</f>
        <v/>
      </c>
      <c r="BC13">
        <f>MIN(15000, 3000 + MAX(0, FLOOR(Onboarding!BC12/100, 1)) * 1000)</f>
        <v/>
      </c>
      <c r="BD13">
        <f>MIN(15000, 3000 + MAX(0, FLOOR(Onboarding!BD12/100, 1)) * 1000)</f>
        <v/>
      </c>
      <c r="BE13">
        <f>MIN(15000, 3000 + MAX(0, FLOOR(Onboarding!BE12/100, 1)) * 1000)</f>
        <v/>
      </c>
      <c r="BF13">
        <f>MIN(15000, 3000 + MAX(0, FLOOR(Onboarding!BF12/100, 1)) * 1000)</f>
        <v/>
      </c>
      <c r="BG13">
        <f>MIN(15000, 3000 + MAX(0, FLOOR(Onboarding!BG12/100, 1)) * 1000)</f>
        <v/>
      </c>
      <c r="BH13">
        <f>MIN(15000, 3000 + MAX(0, FLOOR(Onboarding!BH12/100, 1)) * 1000)</f>
        <v/>
      </c>
      <c r="BI13">
        <f>MIN(15000, 3000 + MAX(0, FLOOR(Onboarding!BI12/100, 1)) * 1000)</f>
        <v/>
      </c>
      <c r="BJ13" s="762">
        <f>SUM(B13:BI13)</f>
        <v/>
      </c>
    </row>
    <row r="14">
      <c r="A14" s="60" t="inlineStr">
        <is>
          <t>Licencia Superlikers</t>
        </is>
      </c>
      <c r="B14">
        <f>'Supuestos Generales'!$B$126</f>
        <v/>
      </c>
      <c r="C14">
        <f>'Supuestos Generales'!$B$126</f>
        <v/>
      </c>
      <c r="D14">
        <f>'Supuestos Generales'!$B$126</f>
        <v/>
      </c>
      <c r="E14">
        <f>'Supuestos Generales'!$B$126</f>
        <v/>
      </c>
      <c r="F14">
        <f>'Supuestos Generales'!$B$126</f>
        <v/>
      </c>
      <c r="G14">
        <f>'Supuestos Generales'!$B$126</f>
        <v/>
      </c>
      <c r="H14">
        <f>'Supuestos Generales'!$B$126</f>
        <v/>
      </c>
      <c r="I14">
        <f>'Supuestos Generales'!$B$126</f>
        <v/>
      </c>
      <c r="J14">
        <f>'Supuestos Generales'!$B$126</f>
        <v/>
      </c>
      <c r="K14">
        <f>'Supuestos Generales'!$B$126</f>
        <v/>
      </c>
      <c r="L14">
        <f>'Supuestos Generales'!$B$126</f>
        <v/>
      </c>
      <c r="M14">
        <f>'Supuestos Generales'!$B$126</f>
        <v/>
      </c>
      <c r="N14">
        <f>'Supuestos Generales'!$B$126</f>
        <v/>
      </c>
      <c r="O14">
        <f>'Supuestos Generales'!$B$126</f>
        <v/>
      </c>
      <c r="P14">
        <f>'Supuestos Generales'!$B$126</f>
        <v/>
      </c>
      <c r="Q14">
        <f>'Supuestos Generales'!$B$126</f>
        <v/>
      </c>
      <c r="R14">
        <f>'Supuestos Generales'!$B$126</f>
        <v/>
      </c>
      <c r="S14">
        <f>'Supuestos Generales'!$B$126</f>
        <v/>
      </c>
      <c r="T14">
        <f>'Supuestos Generales'!$B$126</f>
        <v/>
      </c>
      <c r="U14">
        <f>'Supuestos Generales'!$B$126</f>
        <v/>
      </c>
      <c r="V14">
        <f>'Supuestos Generales'!$B$126</f>
        <v/>
      </c>
      <c r="W14">
        <f>'Supuestos Generales'!$B$126</f>
        <v/>
      </c>
      <c r="X14">
        <f>'Supuestos Generales'!$B$126</f>
        <v/>
      </c>
      <c r="Y14">
        <f>'Supuestos Generales'!$B$126</f>
        <v/>
      </c>
      <c r="Z14">
        <f>'Supuestos Generales'!$B$126</f>
        <v/>
      </c>
      <c r="AA14">
        <f>'Supuestos Generales'!$B$126</f>
        <v/>
      </c>
      <c r="AB14">
        <f>'Supuestos Generales'!$B$126</f>
        <v/>
      </c>
      <c r="AC14">
        <f>'Supuestos Generales'!$B$126</f>
        <v/>
      </c>
      <c r="AD14">
        <f>'Supuestos Generales'!$B$126</f>
        <v/>
      </c>
      <c r="AE14">
        <f>'Supuestos Generales'!$B$126</f>
        <v/>
      </c>
      <c r="AF14">
        <f>'Supuestos Generales'!$B$126</f>
        <v/>
      </c>
      <c r="AG14">
        <f>'Supuestos Generales'!$B$126</f>
        <v/>
      </c>
      <c r="AH14">
        <f>'Supuestos Generales'!$B$126</f>
        <v/>
      </c>
      <c r="AI14">
        <f>'Supuestos Generales'!$B$126</f>
        <v/>
      </c>
      <c r="AJ14">
        <f>'Supuestos Generales'!$B$126</f>
        <v/>
      </c>
      <c r="AK14">
        <f>'Supuestos Generales'!$B$126</f>
        <v/>
      </c>
      <c r="AL14">
        <f>'Supuestos Generales'!$B$126</f>
        <v/>
      </c>
      <c r="AM14">
        <f>'Supuestos Generales'!$B$126</f>
        <v/>
      </c>
      <c r="AN14">
        <f>'Supuestos Generales'!$B$126</f>
        <v/>
      </c>
      <c r="AO14">
        <f>'Supuestos Generales'!$B$126</f>
        <v/>
      </c>
      <c r="AP14">
        <f>'Supuestos Generales'!$B$126</f>
        <v/>
      </c>
      <c r="AQ14">
        <f>'Supuestos Generales'!$B$126</f>
        <v/>
      </c>
      <c r="AR14">
        <f>'Supuestos Generales'!$B$126</f>
        <v/>
      </c>
      <c r="AS14">
        <f>'Supuestos Generales'!$B$126</f>
        <v/>
      </c>
      <c r="AT14">
        <f>'Supuestos Generales'!$B$126</f>
        <v/>
      </c>
      <c r="AU14">
        <f>'Supuestos Generales'!$B$126</f>
        <v/>
      </c>
      <c r="AV14">
        <f>'Supuestos Generales'!$B$126</f>
        <v/>
      </c>
      <c r="AW14">
        <f>'Supuestos Generales'!$B$126</f>
        <v/>
      </c>
      <c r="AX14">
        <f>'Supuestos Generales'!$B$126</f>
        <v/>
      </c>
      <c r="AY14">
        <f>'Supuestos Generales'!$B$126</f>
        <v/>
      </c>
      <c r="AZ14">
        <f>'Supuestos Generales'!$B$126</f>
        <v/>
      </c>
      <c r="BA14">
        <f>'Supuestos Generales'!$B$126</f>
        <v/>
      </c>
      <c r="BB14">
        <f>'Supuestos Generales'!$B$126</f>
        <v/>
      </c>
      <c r="BC14">
        <f>'Supuestos Generales'!$B$126</f>
        <v/>
      </c>
      <c r="BD14">
        <f>'Supuestos Generales'!$B$126</f>
        <v/>
      </c>
      <c r="BE14">
        <f>'Supuestos Generales'!$B$126</f>
        <v/>
      </c>
      <c r="BF14">
        <f>'Supuestos Generales'!$B$126</f>
        <v/>
      </c>
      <c r="BG14">
        <f>'Supuestos Generales'!$B$126</f>
        <v/>
      </c>
      <c r="BH14">
        <f>'Supuestos Generales'!$B$126</f>
        <v/>
      </c>
      <c r="BI14">
        <f>'Supuestos Generales'!$B$126</f>
        <v/>
      </c>
      <c r="BJ14" s="762">
        <f>SUM(B14:BI14)</f>
        <v/>
      </c>
    </row>
    <row r="15">
      <c r="A15" s="61" t="inlineStr">
        <is>
          <t>Total OPEX Fijo</t>
        </is>
      </c>
      <c r="B15" s="763">
        <f>SUM(B6:B14)</f>
        <v/>
      </c>
      <c r="C15" s="763">
        <f>SUM(C6:C14)</f>
        <v/>
      </c>
      <c r="D15" s="763">
        <f>SUM(D6:D14)</f>
        <v/>
      </c>
      <c r="E15" s="763">
        <f>SUM(E6:E14)</f>
        <v/>
      </c>
      <c r="F15" s="763">
        <f>SUM(F6:F14)</f>
        <v/>
      </c>
      <c r="G15" s="763">
        <f>SUM(G6:G14)</f>
        <v/>
      </c>
      <c r="H15" s="763">
        <f>SUM(H6:H14)</f>
        <v/>
      </c>
      <c r="I15" s="763">
        <f>SUM(I6:I14)</f>
        <v/>
      </c>
      <c r="J15" s="763">
        <f>SUM(J6:J14)</f>
        <v/>
      </c>
      <c r="K15" s="763">
        <f>SUM(K6:K14)</f>
        <v/>
      </c>
      <c r="L15" s="763">
        <f>SUM(L6:L14)</f>
        <v/>
      </c>
      <c r="M15" s="763">
        <f>SUM(M6:M14)</f>
        <v/>
      </c>
      <c r="N15" s="763">
        <f>SUM(N6:N14)</f>
        <v/>
      </c>
      <c r="O15" s="763">
        <f>SUM(O6:O14)</f>
        <v/>
      </c>
      <c r="P15" s="763">
        <f>SUM(P6:P14)</f>
        <v/>
      </c>
      <c r="Q15" s="763">
        <f>SUM(Q6:Q14)</f>
        <v/>
      </c>
      <c r="R15" s="763">
        <f>SUM(R6:R14)</f>
        <v/>
      </c>
      <c r="S15" s="763">
        <f>SUM(S6:S14)</f>
        <v/>
      </c>
      <c r="T15" s="763">
        <f>SUM(T6:T14)</f>
        <v/>
      </c>
      <c r="U15" s="763">
        <f>SUM(U6:U14)</f>
        <v/>
      </c>
      <c r="V15" s="763">
        <f>SUM(V6:V14)</f>
        <v/>
      </c>
      <c r="W15" s="763">
        <f>SUM(W6:W14)</f>
        <v/>
      </c>
      <c r="X15" s="763">
        <f>SUM(X6:X14)</f>
        <v/>
      </c>
      <c r="Y15" s="763">
        <f>SUM(Y6:Y14)</f>
        <v/>
      </c>
      <c r="Z15" s="763">
        <f>SUM(Z6:Z14)</f>
        <v/>
      </c>
      <c r="AA15" s="763">
        <f>SUM(AA6:AA14)</f>
        <v/>
      </c>
      <c r="AB15" s="763">
        <f>SUM(AB6:AB14)</f>
        <v/>
      </c>
      <c r="AC15" s="763">
        <f>SUM(AC6:AC14)</f>
        <v/>
      </c>
      <c r="AD15" s="763">
        <f>SUM(AD6:AD14)</f>
        <v/>
      </c>
      <c r="AE15" s="763">
        <f>SUM(AE6:AE14)</f>
        <v/>
      </c>
      <c r="AF15" s="763">
        <f>SUM(AF6:AF14)</f>
        <v/>
      </c>
      <c r="AG15" s="763">
        <f>SUM(AG6:AG14)</f>
        <v/>
      </c>
      <c r="AH15" s="763">
        <f>SUM(AH6:AH14)</f>
        <v/>
      </c>
      <c r="AI15" s="763">
        <f>SUM(AI6:AI14)</f>
        <v/>
      </c>
      <c r="AJ15" s="763">
        <f>SUM(AJ6:AJ14)</f>
        <v/>
      </c>
      <c r="AK15" s="763">
        <f>SUM(AK6:AK14)</f>
        <v/>
      </c>
      <c r="AL15" s="763">
        <f>SUM(AL6:AL14)</f>
        <v/>
      </c>
      <c r="AM15" s="763">
        <f>SUM(AM6:AM14)</f>
        <v/>
      </c>
      <c r="AN15" s="763">
        <f>SUM(AN6:AN14)</f>
        <v/>
      </c>
      <c r="AO15" s="763">
        <f>SUM(AO6:AO14)</f>
        <v/>
      </c>
      <c r="AP15" s="763">
        <f>SUM(AP6:AP14)</f>
        <v/>
      </c>
      <c r="AQ15" s="763">
        <f>SUM(AQ6:AQ14)</f>
        <v/>
      </c>
      <c r="AR15" s="763">
        <f>SUM(AR6:AR14)</f>
        <v/>
      </c>
      <c r="AS15" s="763">
        <f>SUM(AS6:AS14)</f>
        <v/>
      </c>
      <c r="AT15" s="763">
        <f>SUM(AT6:AT14)</f>
        <v/>
      </c>
      <c r="AU15" s="763">
        <f>SUM(AU6:AU14)</f>
        <v/>
      </c>
      <c r="AV15" s="763">
        <f>SUM(AV6:AV14)</f>
        <v/>
      </c>
      <c r="AW15" s="763">
        <f>SUM(AW6:AW14)</f>
        <v/>
      </c>
      <c r="AX15" s="763">
        <f>SUM(AX6:AX14)</f>
        <v/>
      </c>
      <c r="AY15" s="763">
        <f>SUM(AY6:AY14)</f>
        <v/>
      </c>
      <c r="AZ15" s="763">
        <f>SUM(AZ6:AZ14)</f>
        <v/>
      </c>
      <c r="BA15" s="763">
        <f>SUM(BA6:BA14)</f>
        <v/>
      </c>
      <c r="BB15" s="763">
        <f>SUM(BB6:BB14)</f>
        <v/>
      </c>
      <c r="BC15" s="763">
        <f>SUM(BC6:BC14)</f>
        <v/>
      </c>
      <c r="BD15" s="763">
        <f>SUM(BD6:BD14)</f>
        <v/>
      </c>
      <c r="BE15" s="763">
        <f>SUM(BE6:BE14)</f>
        <v/>
      </c>
      <c r="BF15" s="763">
        <f>SUM(BF6:BF14)</f>
        <v/>
      </c>
      <c r="BG15" s="763">
        <f>SUM(BG6:BG14)</f>
        <v/>
      </c>
      <c r="BH15" s="763">
        <f>SUM(BH6:BH14)</f>
        <v/>
      </c>
      <c r="BI15" s="763">
        <f>SUM(BI6:BI14)</f>
        <v/>
      </c>
      <c r="BJ15" s="763">
        <f>SUM(BJ6:BJ14)</f>
        <v/>
      </c>
    </row>
    <row r="17">
      <c r="A17" s="59" t="inlineStr">
        <is>
          <t>DETALLE STEP-UP SEMESTRAL</t>
        </is>
      </c>
    </row>
    <row r="18">
      <c r="A18" s="60" t="inlineStr">
        <is>
          <t>Multiplicador aplicado</t>
        </is>
      </c>
      <c r="B18" s="764">
        <f>(1+'Supuestos Generales'!$B$128)^B$20</f>
        <v/>
      </c>
      <c r="C18" s="764">
        <f>(1+'Supuestos Generales'!$B$128)^C$20</f>
        <v/>
      </c>
      <c r="D18" s="764">
        <f>(1+'Supuestos Generales'!$B$128)^D$20</f>
        <v/>
      </c>
      <c r="E18" s="764">
        <f>(1+'Supuestos Generales'!$B$128)^E$20</f>
        <v/>
      </c>
      <c r="F18" s="764">
        <f>(1+'Supuestos Generales'!$B$128)^F$20</f>
        <v/>
      </c>
      <c r="G18" s="764">
        <f>(1+'Supuestos Generales'!$B$128)^G$20</f>
        <v/>
      </c>
      <c r="H18" s="764">
        <f>(1+'Supuestos Generales'!$B$128)^H$20</f>
        <v/>
      </c>
      <c r="I18" s="764">
        <f>(1+'Supuestos Generales'!$B$128)^I$20</f>
        <v/>
      </c>
      <c r="J18" s="764">
        <f>(1+'Supuestos Generales'!$B$128)^J$20</f>
        <v/>
      </c>
      <c r="K18" s="764">
        <f>(1+'Supuestos Generales'!$B$128)^K$20</f>
        <v/>
      </c>
      <c r="L18" s="764">
        <f>(1+'Supuestos Generales'!$B$128)^L$20</f>
        <v/>
      </c>
      <c r="M18" s="764">
        <f>(1+'Supuestos Generales'!$B$128)^M$20</f>
        <v/>
      </c>
      <c r="N18" s="764">
        <f>(1+'Supuestos Generales'!$B$128)^N$20</f>
        <v/>
      </c>
      <c r="O18" s="764">
        <f>(1+'Supuestos Generales'!$B$128)^O$20</f>
        <v/>
      </c>
      <c r="P18" s="764">
        <f>(1+'Supuestos Generales'!$B$128)^P$20</f>
        <v/>
      </c>
      <c r="Q18" s="764">
        <f>(1+'Supuestos Generales'!$B$128)^Q$20</f>
        <v/>
      </c>
      <c r="R18" s="764">
        <f>(1+'Supuestos Generales'!$B$128)^R$20</f>
        <v/>
      </c>
      <c r="S18" s="764">
        <f>(1+'Supuestos Generales'!$B$128)^S$20</f>
        <v/>
      </c>
      <c r="T18" s="764">
        <f>(1+'Supuestos Generales'!$B$128)^T$20</f>
        <v/>
      </c>
      <c r="U18" s="764">
        <f>(1+'Supuestos Generales'!$B$128)^U$20</f>
        <v/>
      </c>
      <c r="V18" s="764">
        <f>(1+'Supuestos Generales'!$B$128)^V$20</f>
        <v/>
      </c>
      <c r="W18" s="764">
        <f>(1+'Supuestos Generales'!$B$128)^W$20</f>
        <v/>
      </c>
      <c r="X18" s="764">
        <f>(1+'Supuestos Generales'!$B$128)^X$20</f>
        <v/>
      </c>
      <c r="Y18" s="764">
        <f>(1+'Supuestos Generales'!$B$128)^Y$20</f>
        <v/>
      </c>
      <c r="Z18" s="764">
        <f>(1+'Supuestos Generales'!$B$128)^Z$20</f>
        <v/>
      </c>
      <c r="AA18" s="764">
        <f>(1+'Supuestos Generales'!$B$128)^AA$20</f>
        <v/>
      </c>
      <c r="AB18" s="764">
        <f>(1+'Supuestos Generales'!$B$128)^AB$20</f>
        <v/>
      </c>
      <c r="AC18" s="764">
        <f>(1+'Supuestos Generales'!$B$128)^AC$20</f>
        <v/>
      </c>
      <c r="AD18" s="764">
        <f>(1+'Supuestos Generales'!$B$128)^AD$20</f>
        <v/>
      </c>
      <c r="AE18" s="764">
        <f>(1+'Supuestos Generales'!$B$128)^AE$20</f>
        <v/>
      </c>
      <c r="AF18" s="764">
        <f>(1+'Supuestos Generales'!$B$128)^AF$20</f>
        <v/>
      </c>
      <c r="AG18" s="764">
        <f>(1+'Supuestos Generales'!$B$128)^AG$20</f>
        <v/>
      </c>
      <c r="AH18" s="764">
        <f>(1+'Supuestos Generales'!$B$128)^AH$20</f>
        <v/>
      </c>
      <c r="AI18" s="764">
        <f>(1+'Supuestos Generales'!$B$128)^AI$20</f>
        <v/>
      </c>
      <c r="AJ18" s="764">
        <f>(1+'Supuestos Generales'!$B$128)^AJ$20</f>
        <v/>
      </c>
      <c r="AK18" s="764">
        <f>(1+'Supuestos Generales'!$B$128)^AK$20</f>
        <v/>
      </c>
      <c r="AL18" s="764">
        <f>(1+'Supuestos Generales'!$B$128)^AL$20</f>
        <v/>
      </c>
      <c r="AM18" s="764">
        <f>(1+'Supuestos Generales'!$B$128)^AM$20</f>
        <v/>
      </c>
      <c r="AN18" s="764">
        <f>(1+'Supuestos Generales'!$B$128)^AN$20</f>
        <v/>
      </c>
      <c r="AO18" s="764">
        <f>(1+'Supuestos Generales'!$B$128)^AO$20</f>
        <v/>
      </c>
      <c r="AP18" s="764">
        <f>(1+'Supuestos Generales'!$B$128)^AP$20</f>
        <v/>
      </c>
      <c r="AQ18" s="764">
        <f>(1+'Supuestos Generales'!$B$128)^AQ$20</f>
        <v/>
      </c>
      <c r="AR18" s="764">
        <f>(1+'Supuestos Generales'!$B$128)^AR$20</f>
        <v/>
      </c>
      <c r="AS18" s="764">
        <f>(1+'Supuestos Generales'!$B$128)^AS$20</f>
        <v/>
      </c>
      <c r="AT18" s="764">
        <f>(1+'Supuestos Generales'!$B$128)^AT$20</f>
        <v/>
      </c>
      <c r="AU18" s="764">
        <f>(1+'Supuestos Generales'!$B$128)^AU$20</f>
        <v/>
      </c>
      <c r="AV18" s="764">
        <f>(1+'Supuestos Generales'!$B$128)^AV$20</f>
        <v/>
      </c>
      <c r="AW18" s="764">
        <f>(1+'Supuestos Generales'!$B$128)^AW$20</f>
        <v/>
      </c>
      <c r="AX18" s="764">
        <f>(1+'Supuestos Generales'!$B$128)^AX$20</f>
        <v/>
      </c>
      <c r="AY18" s="764">
        <f>(1+'Supuestos Generales'!$B$128)^AY$20</f>
        <v/>
      </c>
      <c r="AZ18" s="764">
        <f>(1+'Supuestos Generales'!$B$128)^AZ$20</f>
        <v/>
      </c>
      <c r="BA18" s="764">
        <f>(1+'Supuestos Generales'!$B$128)^BA$20</f>
        <v/>
      </c>
      <c r="BB18" s="764">
        <f>(1+'Supuestos Generales'!$B$128)^BB$20</f>
        <v/>
      </c>
      <c r="BC18" s="764">
        <f>(1+'Supuestos Generales'!$B$128)^BC$20</f>
        <v/>
      </c>
      <c r="BD18" s="764">
        <f>(1+'Supuestos Generales'!$B$128)^BD$20</f>
        <v/>
      </c>
      <c r="BE18" s="764">
        <f>(1+'Supuestos Generales'!$B$128)^BE$20</f>
        <v/>
      </c>
      <c r="BF18" s="764">
        <f>(1+'Supuestos Generales'!$B$128)^BF$20</f>
        <v/>
      </c>
      <c r="BG18" s="764">
        <f>(1+'Supuestos Generales'!$B$128)^BG$20</f>
        <v/>
      </c>
      <c r="BH18" s="764">
        <f>(1+'Supuestos Generales'!$B$128)^BH$20</f>
        <v/>
      </c>
      <c r="BI18" s="764">
        <f>(1+'Supuestos Generales'!$B$128)^BI$20</f>
        <v/>
      </c>
    </row>
    <row r="19">
      <c r="A19" s="60" t="inlineStr">
        <is>
          <t>Periodo semestral</t>
        </is>
      </c>
      <c r="B19" s="66">
        <f>INT((B$3-1)/6)+1</f>
        <v/>
      </c>
      <c r="C19" s="66">
        <f>INT((C$3-1)/6)+1</f>
        <v/>
      </c>
      <c r="D19" s="66">
        <f>INT((D$3-1)/6)+1</f>
        <v/>
      </c>
      <c r="E19" s="66">
        <f>INT((E$3-1)/6)+1</f>
        <v/>
      </c>
      <c r="F19" s="66">
        <f>INT((F$3-1)/6)+1</f>
        <v/>
      </c>
      <c r="G19" s="66">
        <f>INT((G$3-1)/6)+1</f>
        <v/>
      </c>
      <c r="H19" s="66">
        <f>INT((H$3-1)/6)+1</f>
        <v/>
      </c>
      <c r="I19" s="66">
        <f>INT((I$3-1)/6)+1</f>
        <v/>
      </c>
      <c r="J19" s="66">
        <f>INT((J$3-1)/6)+1</f>
        <v/>
      </c>
      <c r="K19" s="66">
        <f>INT((K$3-1)/6)+1</f>
        <v/>
      </c>
      <c r="L19" s="66">
        <f>INT((L$3-1)/6)+1</f>
        <v/>
      </c>
      <c r="M19" s="66">
        <f>INT((M$3-1)/6)+1</f>
        <v/>
      </c>
      <c r="N19" s="66">
        <f>INT((N$3-1)/6)+1</f>
        <v/>
      </c>
      <c r="O19" s="66">
        <f>INT((O$3-1)/6)+1</f>
        <v/>
      </c>
      <c r="P19" s="66">
        <f>INT((P$3-1)/6)+1</f>
        <v/>
      </c>
      <c r="Q19" s="66">
        <f>INT((Q$3-1)/6)+1</f>
        <v/>
      </c>
      <c r="R19" s="66">
        <f>INT((R$3-1)/6)+1</f>
        <v/>
      </c>
      <c r="S19" s="66">
        <f>INT((S$3-1)/6)+1</f>
        <v/>
      </c>
      <c r="T19" s="66">
        <f>INT((T$3-1)/6)+1</f>
        <v/>
      </c>
      <c r="U19" s="66">
        <f>INT((U$3-1)/6)+1</f>
        <v/>
      </c>
      <c r="V19" s="66">
        <f>INT((V$3-1)/6)+1</f>
        <v/>
      </c>
      <c r="W19" s="66">
        <f>INT((W$3-1)/6)+1</f>
        <v/>
      </c>
      <c r="X19" s="66">
        <f>INT((X$3-1)/6)+1</f>
        <v/>
      </c>
      <c r="Y19" s="66">
        <f>INT((Y$3-1)/6)+1</f>
        <v/>
      </c>
      <c r="Z19" s="66">
        <f>INT((Z$3-1)/6)+1</f>
        <v/>
      </c>
      <c r="AA19" s="66">
        <f>INT((AA$3-1)/6)+1</f>
        <v/>
      </c>
      <c r="AB19" s="66">
        <f>INT((AB$3-1)/6)+1</f>
        <v/>
      </c>
      <c r="AC19" s="66">
        <f>INT((AC$3-1)/6)+1</f>
        <v/>
      </c>
      <c r="AD19" s="66">
        <f>INT((AD$3-1)/6)+1</f>
        <v/>
      </c>
      <c r="AE19" s="66">
        <f>INT((AE$3-1)/6)+1</f>
        <v/>
      </c>
      <c r="AF19" s="66">
        <f>INT((AF$3-1)/6)+1</f>
        <v/>
      </c>
      <c r="AG19" s="66">
        <f>INT((AG$3-1)/6)+1</f>
        <v/>
      </c>
      <c r="AH19" s="66">
        <f>INT((AH$3-1)/6)+1</f>
        <v/>
      </c>
      <c r="AI19" s="66">
        <f>INT((AI$3-1)/6)+1</f>
        <v/>
      </c>
      <c r="AJ19" s="66">
        <f>INT((AJ$3-1)/6)+1</f>
        <v/>
      </c>
      <c r="AK19" s="66">
        <f>INT((AK$3-1)/6)+1</f>
        <v/>
      </c>
      <c r="AL19" s="66">
        <f>INT((AL$3-1)/6)+1</f>
        <v/>
      </c>
      <c r="AM19" s="66">
        <f>INT((AM$3-1)/6)+1</f>
        <v/>
      </c>
      <c r="AN19" s="66">
        <f>INT((AN$3-1)/6)+1</f>
        <v/>
      </c>
      <c r="AO19" s="66">
        <f>INT((AO$3-1)/6)+1</f>
        <v/>
      </c>
      <c r="AP19" s="66">
        <f>INT((AP$3-1)/6)+1</f>
        <v/>
      </c>
      <c r="AQ19" s="66">
        <f>INT((AQ$3-1)/6)+1</f>
        <v/>
      </c>
      <c r="AR19" s="66">
        <f>INT((AR$3-1)/6)+1</f>
        <v/>
      </c>
      <c r="AS19" s="66">
        <f>INT((AS$3-1)/6)+1</f>
        <v/>
      </c>
      <c r="AT19" s="66">
        <f>INT((AT$3-1)/6)+1</f>
        <v/>
      </c>
      <c r="AU19" s="66">
        <f>INT((AU$3-1)/6)+1</f>
        <v/>
      </c>
      <c r="AV19" s="66">
        <f>INT((AV$3-1)/6)+1</f>
        <v/>
      </c>
      <c r="AW19" s="66">
        <f>INT((AW$3-1)/6)+1</f>
        <v/>
      </c>
      <c r="AX19" s="66">
        <f>INT((AX$3-1)/6)+1</f>
        <v/>
      </c>
      <c r="AY19" s="66">
        <f>INT((AY$3-1)/6)+1</f>
        <v/>
      </c>
      <c r="AZ19" s="66">
        <f>INT((AZ$3-1)/6)+1</f>
        <v/>
      </c>
      <c r="BA19" s="66">
        <f>INT((BA$3-1)/6)+1</f>
        <v/>
      </c>
      <c r="BB19" s="66">
        <f>INT((BB$3-1)/6)+1</f>
        <v/>
      </c>
      <c r="BC19" s="66">
        <f>INT((BC$3-1)/6)+1</f>
        <v/>
      </c>
      <c r="BD19" s="66">
        <f>INT((BD$3-1)/6)+1</f>
        <v/>
      </c>
      <c r="BE19" s="66">
        <f>INT((BE$3-1)/6)+1</f>
        <v/>
      </c>
      <c r="BF19" s="66">
        <f>INT((BF$3-1)/6)+1</f>
        <v/>
      </c>
      <c r="BG19" s="66">
        <f>INT((BG$3-1)/6)+1</f>
        <v/>
      </c>
      <c r="BH19" s="66">
        <f>INT((BH$3-1)/6)+1</f>
        <v/>
      </c>
      <c r="BI19" s="66">
        <f>INT((BI$3-1)/6)+1</f>
        <v/>
      </c>
    </row>
    <row r="20">
      <c r="A20" s="60" t="inlineStr">
        <is>
          <t>Step-ups acumulados (condicional)</t>
        </is>
      </c>
      <c r="B20" t="n">
        <v>0</v>
      </c>
      <c r="C20">
        <f>IF(C19&gt;B19, IF('Estados Financieros'!B22&gt;0, B20+1, B20), B20)</f>
        <v/>
      </c>
      <c r="D20">
        <f>IF(D19&gt;C19, IF('Estados Financieros'!C22&gt;0, C20+1, C20), C20)</f>
        <v/>
      </c>
      <c r="E20">
        <f>IF(E19&gt;D19, IF('Estados Financieros'!D22&gt;0, D20+1, D20), D20)</f>
        <v/>
      </c>
      <c r="F20">
        <f>IF(F19&gt;E19, IF('Estados Financieros'!E22&gt;0, E20+1, E20), E20)</f>
        <v/>
      </c>
      <c r="G20">
        <f>IF(G19&gt;F19, IF('Estados Financieros'!F22&gt;0, F20+1, F20), F20)</f>
        <v/>
      </c>
      <c r="H20">
        <f>IF(H19&gt;G19, IF('Estados Financieros'!G22&gt;0, G20+1, G20), G20)</f>
        <v/>
      </c>
      <c r="I20">
        <f>IF(I19&gt;H19, IF('Estados Financieros'!H22&gt;0, H20+1, H20), H20)</f>
        <v/>
      </c>
      <c r="J20">
        <f>IF(J19&gt;I19, IF('Estados Financieros'!I22&gt;0, I20+1, I20), I20)</f>
        <v/>
      </c>
      <c r="K20">
        <f>IF(K19&gt;J19, IF('Estados Financieros'!J22&gt;0, J20+1, J20), J20)</f>
        <v/>
      </c>
      <c r="L20">
        <f>IF(L19&gt;K19, IF('Estados Financieros'!K22&gt;0, K20+1, K20), K20)</f>
        <v/>
      </c>
      <c r="M20">
        <f>IF(M19&gt;L19, IF('Estados Financieros'!L22&gt;0, L20+1, L20), L20)</f>
        <v/>
      </c>
      <c r="N20">
        <f>IF(N19&gt;M19, IF('Estados Financieros'!M22&gt;0, M20+1, M20), M20)</f>
        <v/>
      </c>
      <c r="O20">
        <f>IF(O19&gt;N19, IF('Estados Financieros'!N22&gt;0, N20+1, N20), N20)</f>
        <v/>
      </c>
      <c r="P20">
        <f>IF(P19&gt;O19, IF('Estados Financieros'!O22&gt;0, O20+1, O20), O20)</f>
        <v/>
      </c>
      <c r="Q20">
        <f>IF(Q19&gt;P19, IF('Estados Financieros'!P22&gt;0, P20+1, P20), P20)</f>
        <v/>
      </c>
      <c r="R20">
        <f>IF(R19&gt;Q19, IF('Estados Financieros'!Q22&gt;0, Q20+1, Q20), Q20)</f>
        <v/>
      </c>
      <c r="S20">
        <f>IF(S19&gt;R19, IF('Estados Financieros'!R22&gt;0, R20+1, R20), R20)</f>
        <v/>
      </c>
      <c r="T20">
        <f>IF(T19&gt;S19, IF('Estados Financieros'!S22&gt;0, S20+1, S20), S20)</f>
        <v/>
      </c>
      <c r="U20">
        <f>IF(U19&gt;T19, IF('Estados Financieros'!T22&gt;0, T20+1, T20), T20)</f>
        <v/>
      </c>
      <c r="V20">
        <f>IF(V19&gt;U19, IF('Estados Financieros'!U22&gt;0, U20+1, U20), U20)</f>
        <v/>
      </c>
      <c r="W20">
        <f>IF(W19&gt;V19, IF('Estados Financieros'!V22&gt;0, V20+1, V20), V20)</f>
        <v/>
      </c>
      <c r="X20">
        <f>IF(X19&gt;W19, IF('Estados Financieros'!W22&gt;0, W20+1, W20), W20)</f>
        <v/>
      </c>
      <c r="Y20">
        <f>IF(Y19&gt;X19, IF('Estados Financieros'!X22&gt;0, X20+1, X20), X20)</f>
        <v/>
      </c>
      <c r="Z20">
        <f>IF(Z19&gt;Y19, IF('Estados Financieros'!Y22&gt;0, Y20+1, Y20), Y20)</f>
        <v/>
      </c>
      <c r="AA20">
        <f>IF(AA19&gt;Z19, IF('Estados Financieros'!Z22&gt;0, Z20+1, Z20), Z20)</f>
        <v/>
      </c>
      <c r="AB20">
        <f>IF(AB19&gt;AA19, IF('Estados Financieros'!AA22&gt;0, AA20+1, AA20), AA20)</f>
        <v/>
      </c>
      <c r="AC20">
        <f>IF(AC19&gt;AB19, IF('Estados Financieros'!AB22&gt;0, AB20+1, AB20), AB20)</f>
        <v/>
      </c>
      <c r="AD20">
        <f>IF(AD19&gt;AC19, IF('Estados Financieros'!AC22&gt;0, AC20+1, AC20), AC20)</f>
        <v/>
      </c>
      <c r="AE20">
        <f>IF(AE19&gt;AD19, IF('Estados Financieros'!AD22&gt;0, AD20+1, AD20), AD20)</f>
        <v/>
      </c>
      <c r="AF20">
        <f>IF(AF19&gt;AE19, IF('Estados Financieros'!AE22&gt;0, AE20+1, AE20), AE20)</f>
        <v/>
      </c>
      <c r="AG20">
        <f>IF(AG19&gt;AF19, IF('Estados Financieros'!AF22&gt;0, AF20+1, AF20), AF20)</f>
        <v/>
      </c>
      <c r="AH20">
        <f>IF(AH19&gt;AG19, IF('Estados Financieros'!AG22&gt;0, AG20+1, AG20), AG20)</f>
        <v/>
      </c>
      <c r="AI20">
        <f>IF(AI19&gt;AH19, IF('Estados Financieros'!AH22&gt;0, AH20+1, AH20), AH20)</f>
        <v/>
      </c>
      <c r="AJ20">
        <f>IF(AJ19&gt;AI19, IF('Estados Financieros'!AI22&gt;0, AI20+1, AI20), AI20)</f>
        <v/>
      </c>
      <c r="AK20">
        <f>IF(AK19&gt;AJ19, IF('Estados Financieros'!AJ22&gt;0, AJ20+1, AJ20), AJ20)</f>
        <v/>
      </c>
      <c r="AL20">
        <f>IF(AL19&gt;AK19, IF('Estados Financieros'!AK22&gt;0, AK20+1, AK20), AK20)</f>
        <v/>
      </c>
      <c r="AM20">
        <f>IF(AM19&gt;AL19, IF('Estados Financieros'!AL22&gt;0, AL20+1, AL20), AL20)</f>
        <v/>
      </c>
      <c r="AN20">
        <f>IF(AN19&gt;AM19, IF('Estados Financieros'!AM22&gt;0, AM20+1, AM20), AM20)</f>
        <v/>
      </c>
      <c r="AO20">
        <f>IF(AO19&gt;AN19, IF('Estados Financieros'!AN22&gt;0, AN20+1, AN20), AN20)</f>
        <v/>
      </c>
      <c r="AP20">
        <f>IF(AP19&gt;AO19, IF('Estados Financieros'!AO22&gt;0, AO20+1, AO20), AO20)</f>
        <v/>
      </c>
      <c r="AQ20">
        <f>IF(AQ19&gt;AP19, IF('Estados Financieros'!AP22&gt;0, AP20+1, AP20), AP20)</f>
        <v/>
      </c>
      <c r="AR20">
        <f>IF(AR19&gt;AQ19, IF('Estados Financieros'!AQ22&gt;0, AQ20+1, AQ20), AQ20)</f>
        <v/>
      </c>
      <c r="AS20">
        <f>IF(AS19&gt;AR19, IF('Estados Financieros'!AR22&gt;0, AR20+1, AR20), AR20)</f>
        <v/>
      </c>
      <c r="AT20">
        <f>IF(AT19&gt;AS19, IF('Estados Financieros'!AS22&gt;0, AS20+1, AS20), AS20)</f>
        <v/>
      </c>
      <c r="AU20">
        <f>IF(AU19&gt;AT19, IF('Estados Financieros'!AT22&gt;0, AT20+1, AT20), AT20)</f>
        <v/>
      </c>
      <c r="AV20">
        <f>IF(AV19&gt;AU19, IF('Estados Financieros'!AU22&gt;0, AU20+1, AU20), AU20)</f>
        <v/>
      </c>
      <c r="AW20">
        <f>IF(AW19&gt;AV19, IF('Estados Financieros'!AV22&gt;0, AV20+1, AV20), AV20)</f>
        <v/>
      </c>
      <c r="AX20">
        <f>IF(AX19&gt;AW19, IF('Estados Financieros'!AW22&gt;0, AW20+1, AW20), AW20)</f>
        <v/>
      </c>
      <c r="AY20">
        <f>IF(AY19&gt;AX19, IF('Estados Financieros'!AX22&gt;0, AX20+1, AX20), AX20)</f>
        <v/>
      </c>
      <c r="AZ20">
        <f>IF(AZ19&gt;AY19, IF('Estados Financieros'!AY22&gt;0, AY20+1, AY20), AY20)</f>
        <v/>
      </c>
      <c r="BA20">
        <f>IF(BA19&gt;AZ19, IF('Estados Financieros'!AZ22&gt;0, AZ20+1, AZ20), AZ20)</f>
        <v/>
      </c>
      <c r="BB20">
        <f>IF(BB19&gt;BA19, IF('Estados Financieros'!BA22&gt;0, BA20+1, BA20), BA20)</f>
        <v/>
      </c>
      <c r="BC20">
        <f>IF(BC19&gt;BB19, IF('Estados Financieros'!BB22&gt;0, BB20+1, BB20), BB20)</f>
        <v/>
      </c>
      <c r="BD20">
        <f>IF(BD19&gt;BC19, IF('Estados Financieros'!BC22&gt;0, BC20+1, BC20), BC20)</f>
        <v/>
      </c>
      <c r="BE20">
        <f>IF(BE19&gt;BD19, IF('Estados Financieros'!BD22&gt;0, BD20+1, BD20), BD20)</f>
        <v/>
      </c>
      <c r="BF20">
        <f>IF(BF19&gt;BE19, IF('Estados Financieros'!BE22&gt;0, BE20+1, BE20), BE20)</f>
        <v/>
      </c>
      <c r="BG20">
        <f>IF(BG19&gt;BF19, IF('Estados Financieros'!BF22&gt;0, BF20+1, BF20), BF20)</f>
        <v/>
      </c>
      <c r="BH20">
        <f>IF(BH19&gt;BG19, IF('Estados Financieros'!BG22&gt;0, BG20+1, BG20), BG20)</f>
        <v/>
      </c>
      <c r="BI20">
        <f>IF(BI19&gt;BH19, IF('Estados Financieros'!BH22&gt;0, BH20+1, BH20), BH20)</f>
        <v/>
      </c>
    </row>
    <row r="22">
      <c r="A22" s="43" t="inlineStr">
        <is>
          <t>OPEX TOTAL</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2" t="n"/>
      <c r="BE22" s="2" t="n"/>
      <c r="BF22" s="2" t="n"/>
      <c r="BG22" s="2" t="n"/>
      <c r="BH22" s="2" t="n"/>
      <c r="BI22" s="2" t="n"/>
      <c r="BJ22" s="2" t="n"/>
    </row>
    <row r="23">
      <c r="A23" s="65" t="inlineStr">
        <is>
          <t>Total OPEX Mensual</t>
        </is>
      </c>
      <c r="B23" s="765">
        <f>B15</f>
        <v/>
      </c>
      <c r="C23" s="765">
        <f>C15</f>
        <v/>
      </c>
      <c r="D23" s="765">
        <f>D15</f>
        <v/>
      </c>
      <c r="E23" s="765">
        <f>E15</f>
        <v/>
      </c>
      <c r="F23" s="765">
        <f>F15</f>
        <v/>
      </c>
      <c r="G23" s="765">
        <f>G15</f>
        <v/>
      </c>
      <c r="H23" s="765">
        <f>H15</f>
        <v/>
      </c>
      <c r="I23" s="765">
        <f>I15</f>
        <v/>
      </c>
      <c r="J23" s="765">
        <f>J15</f>
        <v/>
      </c>
      <c r="K23" s="765">
        <f>K15</f>
        <v/>
      </c>
      <c r="L23" s="765">
        <f>L15</f>
        <v/>
      </c>
      <c r="M23" s="765">
        <f>M15</f>
        <v/>
      </c>
      <c r="N23" s="765">
        <f>N15</f>
        <v/>
      </c>
      <c r="O23" s="765">
        <f>O15</f>
        <v/>
      </c>
      <c r="P23" s="765">
        <f>P15</f>
        <v/>
      </c>
      <c r="Q23" s="765">
        <f>Q15</f>
        <v/>
      </c>
      <c r="R23" s="765">
        <f>R15</f>
        <v/>
      </c>
      <c r="S23" s="765">
        <f>S15</f>
        <v/>
      </c>
      <c r="T23" s="765">
        <f>T15</f>
        <v/>
      </c>
      <c r="U23" s="765">
        <f>U15</f>
        <v/>
      </c>
      <c r="V23" s="765">
        <f>V15</f>
        <v/>
      </c>
      <c r="W23" s="765">
        <f>W15</f>
        <v/>
      </c>
      <c r="X23" s="765">
        <f>X15</f>
        <v/>
      </c>
      <c r="Y23" s="765">
        <f>Y15</f>
        <v/>
      </c>
      <c r="Z23" s="765">
        <f>Z15</f>
        <v/>
      </c>
      <c r="AA23" s="765">
        <f>AA15</f>
        <v/>
      </c>
      <c r="AB23" s="765">
        <f>AB15</f>
        <v/>
      </c>
      <c r="AC23" s="765">
        <f>AC15</f>
        <v/>
      </c>
      <c r="AD23" s="765">
        <f>AD15</f>
        <v/>
      </c>
      <c r="AE23" s="765">
        <f>AE15</f>
        <v/>
      </c>
      <c r="AF23" s="765">
        <f>AF15</f>
        <v/>
      </c>
      <c r="AG23" s="765">
        <f>AG15</f>
        <v/>
      </c>
      <c r="AH23" s="765">
        <f>AH15</f>
        <v/>
      </c>
      <c r="AI23" s="765">
        <f>AI15</f>
        <v/>
      </c>
      <c r="AJ23" s="765">
        <f>AJ15</f>
        <v/>
      </c>
      <c r="AK23" s="765">
        <f>AK15</f>
        <v/>
      </c>
      <c r="AL23" s="765">
        <f>AL15</f>
        <v/>
      </c>
      <c r="AM23" s="765">
        <f>AM15</f>
        <v/>
      </c>
      <c r="AN23" s="765">
        <f>AN15</f>
        <v/>
      </c>
      <c r="AO23" s="765">
        <f>AO15</f>
        <v/>
      </c>
      <c r="AP23" s="765">
        <f>AP15</f>
        <v/>
      </c>
      <c r="AQ23" s="765">
        <f>AQ15</f>
        <v/>
      </c>
      <c r="AR23" s="765">
        <f>AR15</f>
        <v/>
      </c>
      <c r="AS23" s="765">
        <f>AS15</f>
        <v/>
      </c>
      <c r="AT23" s="765">
        <f>AT15</f>
        <v/>
      </c>
      <c r="AU23" s="765">
        <f>AU15</f>
        <v/>
      </c>
      <c r="AV23" s="765">
        <f>AV15</f>
        <v/>
      </c>
      <c r="AW23" s="765">
        <f>AW15</f>
        <v/>
      </c>
      <c r="AX23" s="765">
        <f>AX15</f>
        <v/>
      </c>
      <c r="AY23" s="765">
        <f>AY15</f>
        <v/>
      </c>
      <c r="AZ23" s="765">
        <f>AZ15</f>
        <v/>
      </c>
      <c r="BA23" s="765">
        <f>BA15</f>
        <v/>
      </c>
      <c r="BB23" s="765">
        <f>BB15</f>
        <v/>
      </c>
      <c r="BC23" s="765">
        <f>BC15</f>
        <v/>
      </c>
      <c r="BD23" s="765">
        <f>BD15</f>
        <v/>
      </c>
      <c r="BE23" s="765">
        <f>BE15</f>
        <v/>
      </c>
      <c r="BF23" s="765">
        <f>BF15</f>
        <v/>
      </c>
      <c r="BG23" s="765">
        <f>BG15</f>
        <v/>
      </c>
      <c r="BH23" s="765">
        <f>BH15</f>
        <v/>
      </c>
      <c r="BI23" s="765">
        <f>BI15</f>
        <v/>
      </c>
      <c r="BJ23" s="766">
        <f>SUM(B23:BI23)</f>
        <v/>
      </c>
    </row>
    <row r="24">
      <c r="A24" s="60" t="inlineStr">
        <is>
          <t>OPEX Acumulado</t>
        </is>
      </c>
      <c r="B24" s="761">
        <f>B23</f>
        <v/>
      </c>
      <c r="C24" s="761">
        <f>B24+C23</f>
        <v/>
      </c>
      <c r="D24" s="761">
        <f>C24+D23</f>
        <v/>
      </c>
      <c r="E24" s="761">
        <f>D24+E23</f>
        <v/>
      </c>
      <c r="F24" s="761">
        <f>E24+F23</f>
        <v/>
      </c>
      <c r="G24" s="761">
        <f>F24+G23</f>
        <v/>
      </c>
      <c r="H24" s="761">
        <f>G24+H23</f>
        <v/>
      </c>
      <c r="I24" s="761">
        <f>H24+I23</f>
        <v/>
      </c>
      <c r="J24" s="761">
        <f>I24+J23</f>
        <v/>
      </c>
      <c r="K24" s="761">
        <f>J24+K23</f>
        <v/>
      </c>
      <c r="L24" s="761">
        <f>K24+L23</f>
        <v/>
      </c>
      <c r="M24" s="761">
        <f>L24+M23</f>
        <v/>
      </c>
      <c r="N24" s="761">
        <f>M24+N23</f>
        <v/>
      </c>
      <c r="O24" s="761">
        <f>N24+O23</f>
        <v/>
      </c>
      <c r="P24" s="761">
        <f>O24+P23</f>
        <v/>
      </c>
      <c r="Q24" s="761">
        <f>P24+Q23</f>
        <v/>
      </c>
      <c r="R24" s="761">
        <f>Q24+R23</f>
        <v/>
      </c>
      <c r="S24" s="761">
        <f>R24+S23</f>
        <v/>
      </c>
      <c r="T24" s="761">
        <f>S24+T23</f>
        <v/>
      </c>
      <c r="U24" s="761">
        <f>T24+U23</f>
        <v/>
      </c>
      <c r="V24" s="761">
        <f>U24+V23</f>
        <v/>
      </c>
      <c r="W24" s="761">
        <f>V24+W23</f>
        <v/>
      </c>
      <c r="X24" s="761">
        <f>W24+X23</f>
        <v/>
      </c>
      <c r="Y24" s="761">
        <f>X24+Y23</f>
        <v/>
      </c>
      <c r="Z24" s="761">
        <f>Y24+Z23</f>
        <v/>
      </c>
      <c r="AA24" s="761">
        <f>Z24+AA23</f>
        <v/>
      </c>
      <c r="AB24" s="761">
        <f>AA24+AB23</f>
        <v/>
      </c>
      <c r="AC24" s="761">
        <f>AB24+AC23</f>
        <v/>
      </c>
      <c r="AD24" s="761">
        <f>AC24+AD23</f>
        <v/>
      </c>
      <c r="AE24" s="761">
        <f>AD24+AE23</f>
        <v/>
      </c>
      <c r="AF24" s="761">
        <f>AE24+AF23</f>
        <v/>
      </c>
      <c r="AG24" s="761">
        <f>AF24+AG23</f>
        <v/>
      </c>
      <c r="AH24" s="761">
        <f>AG24+AH23</f>
        <v/>
      </c>
      <c r="AI24" s="761">
        <f>AH24+AI23</f>
        <v/>
      </c>
      <c r="AJ24" s="761">
        <f>AI24+AJ23</f>
        <v/>
      </c>
      <c r="AK24" s="761">
        <f>AJ24+AK23</f>
        <v/>
      </c>
      <c r="AL24" s="761">
        <f>AK24+AL23</f>
        <v/>
      </c>
      <c r="AM24" s="761">
        <f>AL24+AM23</f>
        <v/>
      </c>
      <c r="AN24" s="761">
        <f>AM24+AN23</f>
        <v/>
      </c>
      <c r="AO24" s="761">
        <f>AN24+AO23</f>
        <v/>
      </c>
      <c r="AP24" s="761">
        <f>AO24+AP23</f>
        <v/>
      </c>
      <c r="AQ24" s="761">
        <f>AP24+AQ23</f>
        <v/>
      </c>
      <c r="AR24" s="761">
        <f>AQ24+AR23</f>
        <v/>
      </c>
      <c r="AS24" s="761">
        <f>AR24+AS23</f>
        <v/>
      </c>
      <c r="AT24" s="761">
        <f>AS24+AT23</f>
        <v/>
      </c>
      <c r="AU24" s="761">
        <f>AT24+AU23</f>
        <v/>
      </c>
      <c r="AV24" s="761">
        <f>AU24+AV23</f>
        <v/>
      </c>
      <c r="AW24" s="761">
        <f>AV24+AW23</f>
        <v/>
      </c>
      <c r="AX24" s="761">
        <f>AW24+AX23</f>
        <v/>
      </c>
      <c r="AY24" s="761">
        <f>AX24+AY23</f>
        <v/>
      </c>
      <c r="AZ24" s="761">
        <f>AY24+AZ23</f>
        <v/>
      </c>
      <c r="BA24" s="761">
        <f>AZ24+BA23</f>
        <v/>
      </c>
      <c r="BB24" s="761">
        <f>BA24+BB23</f>
        <v/>
      </c>
      <c r="BC24" s="761">
        <f>BB24+BC23</f>
        <v/>
      </c>
      <c r="BD24" s="761">
        <f>BC24+BD23</f>
        <v/>
      </c>
      <c r="BE24" s="761">
        <f>BD24+BE23</f>
        <v/>
      </c>
      <c r="BF24" s="761">
        <f>BE24+BF23</f>
        <v/>
      </c>
      <c r="BG24" s="761">
        <f>BF24+BG23</f>
        <v/>
      </c>
      <c r="BH24" s="761">
        <f>BG24+BH23</f>
        <v/>
      </c>
      <c r="BI24" s="761">
        <f>BH24+BI23</f>
        <v/>
      </c>
      <c r="BJ24" s="762">
        <f>BI24</f>
        <v/>
      </c>
    </row>
    <row r="26">
      <c r="A26" s="59" t="inlineStr">
        <is>
          <t>MÉTRICAS</t>
        </is>
      </c>
    </row>
    <row r="27">
      <c r="A27" s="60" t="inlineStr">
        <is>
          <t>OPEX como % de Ingresos</t>
        </is>
      </c>
      <c r="B27" s="767">
        <f>IF(Ingresos!B19=0,0,B23/Ingresos!B19)</f>
        <v/>
      </c>
      <c r="C27" s="767">
        <f>IF(Ingresos!C19=0,0,C23/Ingresos!C19)</f>
        <v/>
      </c>
      <c r="D27" s="767">
        <f>IF(Ingresos!D19=0,0,D23/Ingresos!D19)</f>
        <v/>
      </c>
      <c r="E27" s="767">
        <f>IF(Ingresos!E19=0,0,E23/Ingresos!E19)</f>
        <v/>
      </c>
      <c r="F27" s="767">
        <f>IF(Ingresos!F19=0,0,F23/Ingresos!F19)</f>
        <v/>
      </c>
      <c r="G27" s="767">
        <f>IF(Ingresos!G19=0,0,G23/Ingresos!G19)</f>
        <v/>
      </c>
      <c r="H27" s="767">
        <f>IF(Ingresos!H19=0,0,H23/Ingresos!H19)</f>
        <v/>
      </c>
      <c r="I27" s="767">
        <f>IF(Ingresos!I19=0,0,I23/Ingresos!I19)</f>
        <v/>
      </c>
      <c r="J27" s="767">
        <f>IF(Ingresos!J19=0,0,J23/Ingresos!J19)</f>
        <v/>
      </c>
      <c r="K27" s="767">
        <f>IF(Ingresos!K19=0,0,K23/Ingresos!K19)</f>
        <v/>
      </c>
      <c r="L27" s="767">
        <f>IF(Ingresos!L19=0,0,L23/Ingresos!L19)</f>
        <v/>
      </c>
      <c r="M27" s="767">
        <f>IF(Ingresos!M19=0,0,M23/Ingresos!M19)</f>
        <v/>
      </c>
      <c r="N27" s="767">
        <f>IF(Ingresos!N19=0,0,N23/Ingresos!N19)</f>
        <v/>
      </c>
      <c r="O27" s="767">
        <f>IF(Ingresos!O19=0,0,O23/Ingresos!O19)</f>
        <v/>
      </c>
      <c r="P27" s="767">
        <f>IF(Ingresos!P19=0,0,P23/Ingresos!P19)</f>
        <v/>
      </c>
      <c r="Q27" s="767">
        <f>IF(Ingresos!Q19=0,0,Q23/Ingresos!Q19)</f>
        <v/>
      </c>
      <c r="R27" s="767">
        <f>IF(Ingresos!R19=0,0,R23/Ingresos!R19)</f>
        <v/>
      </c>
      <c r="S27" s="767">
        <f>IF(Ingresos!S19=0,0,S23/Ingresos!S19)</f>
        <v/>
      </c>
      <c r="T27" s="767">
        <f>IF(Ingresos!T19=0,0,T23/Ingresos!T19)</f>
        <v/>
      </c>
      <c r="U27" s="767">
        <f>IF(Ingresos!U19=0,0,U23/Ingresos!U19)</f>
        <v/>
      </c>
      <c r="V27" s="767">
        <f>IF(Ingresos!V19=0,0,V23/Ingresos!V19)</f>
        <v/>
      </c>
      <c r="W27" s="767">
        <f>IF(Ingresos!W19=0,0,W23/Ingresos!W19)</f>
        <v/>
      </c>
      <c r="X27" s="767">
        <f>IF(Ingresos!X19=0,0,X23/Ingresos!X19)</f>
        <v/>
      </c>
      <c r="Y27" s="767">
        <f>IF(Ingresos!Y19=0,0,Y23/Ingresos!Y19)</f>
        <v/>
      </c>
      <c r="Z27" s="767">
        <f>IF(Ingresos!Z19=0,0,Z23/Ingresos!Z19)</f>
        <v/>
      </c>
      <c r="AA27" s="767">
        <f>IF(Ingresos!AA19=0,0,AA23/Ingresos!AA19)</f>
        <v/>
      </c>
      <c r="AB27" s="767">
        <f>IF(Ingresos!AB19=0,0,AB23/Ingresos!AB19)</f>
        <v/>
      </c>
      <c r="AC27" s="767">
        <f>IF(Ingresos!AC19=0,0,AC23/Ingresos!AC19)</f>
        <v/>
      </c>
      <c r="AD27" s="767">
        <f>IF(Ingresos!AD19=0,0,AD23/Ingresos!AD19)</f>
        <v/>
      </c>
      <c r="AE27" s="767">
        <f>IF(Ingresos!AE19=0,0,AE23/Ingresos!AE19)</f>
        <v/>
      </c>
      <c r="AF27" s="767">
        <f>IF(Ingresos!AF19=0,0,AF23/Ingresos!AF19)</f>
        <v/>
      </c>
      <c r="AG27" s="767">
        <f>IF(Ingresos!AG19=0,0,AG23/Ingresos!AG19)</f>
        <v/>
      </c>
      <c r="AH27" s="767">
        <f>IF(Ingresos!AH19=0,0,AH23/Ingresos!AH19)</f>
        <v/>
      </c>
      <c r="AI27" s="767">
        <f>IF(Ingresos!AI19=0,0,AI23/Ingresos!AI19)</f>
        <v/>
      </c>
      <c r="AJ27" s="767">
        <f>IF(Ingresos!AJ19=0,0,AJ23/Ingresos!AJ19)</f>
        <v/>
      </c>
      <c r="AK27" s="767">
        <f>IF(Ingresos!AK19=0,0,AK23/Ingresos!AK19)</f>
        <v/>
      </c>
      <c r="AL27" s="767">
        <f>IF(Ingresos!AL19=0,0,AL23/Ingresos!AL19)</f>
        <v/>
      </c>
      <c r="AM27" s="767">
        <f>IF(Ingresos!AM19=0,0,AM23/Ingresos!AM19)</f>
        <v/>
      </c>
      <c r="AN27" s="767">
        <f>IF(Ingresos!AN19=0,0,AN23/Ingresos!AN19)</f>
        <v/>
      </c>
      <c r="AO27" s="767">
        <f>IF(Ingresos!AO19=0,0,AO23/Ingresos!AO19)</f>
        <v/>
      </c>
      <c r="AP27" s="767">
        <f>IF(Ingresos!AP19=0,0,AP23/Ingresos!AP19)</f>
        <v/>
      </c>
      <c r="AQ27" s="767">
        <f>IF(Ingresos!AQ19=0,0,AQ23/Ingresos!AQ19)</f>
        <v/>
      </c>
      <c r="AR27" s="767">
        <f>IF(Ingresos!AR19=0,0,AR23/Ingresos!AR19)</f>
        <v/>
      </c>
      <c r="AS27" s="767">
        <f>IF(Ingresos!AS19=0,0,AS23/Ingresos!AS19)</f>
        <v/>
      </c>
      <c r="AT27" s="767">
        <f>IF(Ingresos!AT19=0,0,AT23/Ingresos!AT19)</f>
        <v/>
      </c>
      <c r="AU27" s="767">
        <f>IF(Ingresos!AU19=0,0,AU23/Ingresos!AU19)</f>
        <v/>
      </c>
      <c r="AV27" s="767">
        <f>IF(Ingresos!AV19=0,0,AV23/Ingresos!AV19)</f>
        <v/>
      </c>
      <c r="AW27" s="767">
        <f>IF(Ingresos!AW19=0,0,AW23/Ingresos!AW19)</f>
        <v/>
      </c>
      <c r="AX27" s="767">
        <f>IF(Ingresos!AX19=0,0,AX23/Ingresos!AX19)</f>
        <v/>
      </c>
      <c r="AY27" s="767">
        <f>IF(Ingresos!AY19=0,0,AY23/Ingresos!AY19)</f>
        <v/>
      </c>
      <c r="AZ27" s="767">
        <f>IF(Ingresos!AZ19=0,0,AZ23/Ingresos!AZ19)</f>
        <v/>
      </c>
      <c r="BA27" s="767">
        <f>IF(Ingresos!BA19=0,0,BA23/Ingresos!BA19)</f>
        <v/>
      </c>
      <c r="BB27" s="767">
        <f>IF(Ingresos!BB19=0,0,BB23/Ingresos!BB19)</f>
        <v/>
      </c>
      <c r="BC27" s="767">
        <f>IF(Ingresos!BC19=0,0,BC23/Ingresos!BC19)</f>
        <v/>
      </c>
      <c r="BD27" s="767">
        <f>IF(Ingresos!BD19=0,0,BD23/Ingresos!BD19)</f>
        <v/>
      </c>
      <c r="BE27" s="767">
        <f>IF(Ingresos!BE19=0,0,BE23/Ingresos!BE19)</f>
        <v/>
      </c>
      <c r="BF27" s="767">
        <f>IF(Ingresos!BF19=0,0,BF23/Ingresos!BF19)</f>
        <v/>
      </c>
      <c r="BG27" s="767">
        <f>IF(Ingresos!BG19=0,0,BG23/Ingresos!BG19)</f>
        <v/>
      </c>
      <c r="BH27" s="767">
        <f>IF(Ingresos!BH19=0,0,BH23/Ingresos!BH19)</f>
        <v/>
      </c>
      <c r="BI27" s="767">
        <f>IF(Ingresos!BI19=0,0,BI23/Ingresos!BI19)</f>
        <v/>
      </c>
      <c r="BJ27" s="768">
        <f>IF(Ingresos!BJ19=0,0,BJ23/Ingresos!BJ19)</f>
        <v/>
      </c>
    </row>
    <row r="28">
      <c r="A28" s="60" t="inlineStr">
        <is>
          <t>OPEX por restaurante activo</t>
        </is>
      </c>
      <c r="B28" s="769">
        <f>IF(Onboarding!B12=0,0,B23/Onboarding!B12)</f>
        <v/>
      </c>
      <c r="C28" s="769">
        <f>IF(Onboarding!C12=0,0,C23/Onboarding!C12)</f>
        <v/>
      </c>
      <c r="D28" s="769">
        <f>IF(Onboarding!D12=0,0,D23/Onboarding!D12)</f>
        <v/>
      </c>
      <c r="E28" s="769">
        <f>IF(Onboarding!E12=0,0,E23/Onboarding!E12)</f>
        <v/>
      </c>
      <c r="F28" s="769">
        <f>IF(Onboarding!F12=0,0,F23/Onboarding!F12)</f>
        <v/>
      </c>
      <c r="G28" s="769">
        <f>IF(Onboarding!G12=0,0,G23/Onboarding!G12)</f>
        <v/>
      </c>
      <c r="H28" s="769">
        <f>IF(Onboarding!H12=0,0,H23/Onboarding!H12)</f>
        <v/>
      </c>
      <c r="I28" s="769">
        <f>IF(Onboarding!I12=0,0,I23/Onboarding!I12)</f>
        <v/>
      </c>
      <c r="J28" s="769">
        <f>IF(Onboarding!J12=0,0,J23/Onboarding!J12)</f>
        <v/>
      </c>
      <c r="K28" s="769">
        <f>IF(Onboarding!K12=0,0,K23/Onboarding!K12)</f>
        <v/>
      </c>
      <c r="L28" s="769">
        <f>IF(Onboarding!L12=0,0,L23/Onboarding!L12)</f>
        <v/>
      </c>
      <c r="M28" s="769">
        <f>IF(Onboarding!M12=0,0,M23/Onboarding!M12)</f>
        <v/>
      </c>
      <c r="N28" s="769">
        <f>IF(Onboarding!N12=0,0,N23/Onboarding!N12)</f>
        <v/>
      </c>
      <c r="O28" s="769">
        <f>IF(Onboarding!O12=0,0,O23/Onboarding!O12)</f>
        <v/>
      </c>
      <c r="P28" s="769">
        <f>IF(Onboarding!P12=0,0,P23/Onboarding!P12)</f>
        <v/>
      </c>
      <c r="Q28" s="769">
        <f>IF(Onboarding!Q12=0,0,Q23/Onboarding!Q12)</f>
        <v/>
      </c>
      <c r="R28" s="769">
        <f>IF(Onboarding!R12=0,0,R23/Onboarding!R12)</f>
        <v/>
      </c>
      <c r="S28" s="769">
        <f>IF(Onboarding!S12=0,0,S23/Onboarding!S12)</f>
        <v/>
      </c>
      <c r="T28" s="769">
        <f>IF(Onboarding!T12=0,0,T23/Onboarding!T12)</f>
        <v/>
      </c>
      <c r="U28" s="769">
        <f>IF(Onboarding!U12=0,0,U23/Onboarding!U12)</f>
        <v/>
      </c>
      <c r="V28" s="769">
        <f>IF(Onboarding!V12=0,0,V23/Onboarding!V12)</f>
        <v/>
      </c>
      <c r="W28" s="769">
        <f>IF(Onboarding!W12=0,0,W23/Onboarding!W12)</f>
        <v/>
      </c>
      <c r="X28" s="769">
        <f>IF(Onboarding!X12=0,0,X23/Onboarding!X12)</f>
        <v/>
      </c>
      <c r="Y28" s="769">
        <f>IF(Onboarding!Y12=0,0,Y23/Onboarding!Y12)</f>
        <v/>
      </c>
      <c r="Z28" s="769">
        <f>IF(Onboarding!Z12=0,0,Z23/Onboarding!Z12)</f>
        <v/>
      </c>
      <c r="AA28" s="769">
        <f>IF(Onboarding!AA12=0,0,AA23/Onboarding!AA12)</f>
        <v/>
      </c>
      <c r="AB28" s="769">
        <f>IF(Onboarding!AB12=0,0,AB23/Onboarding!AB12)</f>
        <v/>
      </c>
      <c r="AC28" s="769">
        <f>IF(Onboarding!AC12=0,0,AC23/Onboarding!AC12)</f>
        <v/>
      </c>
      <c r="AD28" s="769">
        <f>IF(Onboarding!AD12=0,0,AD23/Onboarding!AD12)</f>
        <v/>
      </c>
      <c r="AE28" s="769">
        <f>IF(Onboarding!AE12=0,0,AE23/Onboarding!AE12)</f>
        <v/>
      </c>
      <c r="AF28" s="769">
        <f>IF(Onboarding!AF12=0,0,AF23/Onboarding!AF12)</f>
        <v/>
      </c>
      <c r="AG28" s="769">
        <f>IF(Onboarding!AG12=0,0,AG23/Onboarding!AG12)</f>
        <v/>
      </c>
      <c r="AH28" s="769">
        <f>IF(Onboarding!AH12=0,0,AH23/Onboarding!AH12)</f>
        <v/>
      </c>
      <c r="AI28" s="769">
        <f>IF(Onboarding!AI12=0,0,AI23/Onboarding!AI12)</f>
        <v/>
      </c>
      <c r="AJ28" s="769">
        <f>IF(Onboarding!AJ12=0,0,AJ23/Onboarding!AJ12)</f>
        <v/>
      </c>
      <c r="AK28" s="769">
        <f>IF(Onboarding!AK12=0,0,AK23/Onboarding!AK12)</f>
        <v/>
      </c>
      <c r="AL28" s="769">
        <f>IF(Onboarding!AL12=0,0,AL23/Onboarding!AL12)</f>
        <v/>
      </c>
      <c r="AM28" s="769">
        <f>IF(Onboarding!AM12=0,0,AM23/Onboarding!AM12)</f>
        <v/>
      </c>
      <c r="AN28" s="769">
        <f>IF(Onboarding!AN12=0,0,AN23/Onboarding!AN12)</f>
        <v/>
      </c>
      <c r="AO28" s="769">
        <f>IF(Onboarding!AO12=0,0,AO23/Onboarding!AO12)</f>
        <v/>
      </c>
      <c r="AP28" s="769">
        <f>IF(Onboarding!AP12=0,0,AP23/Onboarding!AP12)</f>
        <v/>
      </c>
      <c r="AQ28" s="769">
        <f>IF(Onboarding!AQ12=0,0,AQ23/Onboarding!AQ12)</f>
        <v/>
      </c>
      <c r="AR28" s="769">
        <f>IF(Onboarding!AR12=0,0,AR23/Onboarding!AR12)</f>
        <v/>
      </c>
      <c r="AS28" s="769">
        <f>IF(Onboarding!AS12=0,0,AS23/Onboarding!AS12)</f>
        <v/>
      </c>
      <c r="AT28" s="769">
        <f>IF(Onboarding!AT12=0,0,AT23/Onboarding!AT12)</f>
        <v/>
      </c>
      <c r="AU28" s="769">
        <f>IF(Onboarding!AU12=0,0,AU23/Onboarding!AU12)</f>
        <v/>
      </c>
      <c r="AV28" s="769">
        <f>IF(Onboarding!AV12=0,0,AV23/Onboarding!AV12)</f>
        <v/>
      </c>
      <c r="AW28" s="769">
        <f>IF(Onboarding!AW12=0,0,AW23/Onboarding!AW12)</f>
        <v/>
      </c>
      <c r="AX28" s="769">
        <f>IF(Onboarding!AX12=0,0,AX23/Onboarding!AX12)</f>
        <v/>
      </c>
      <c r="AY28" s="769">
        <f>IF(Onboarding!AY12=0,0,AY23/Onboarding!AY12)</f>
        <v/>
      </c>
      <c r="AZ28" s="769">
        <f>IF(Onboarding!AZ12=0,0,AZ23/Onboarding!AZ12)</f>
        <v/>
      </c>
      <c r="BA28" s="769">
        <f>IF(Onboarding!BA12=0,0,BA23/Onboarding!BA12)</f>
        <v/>
      </c>
      <c r="BB28" s="769">
        <f>IF(Onboarding!BB12=0,0,BB23/Onboarding!BB12)</f>
        <v/>
      </c>
      <c r="BC28" s="769">
        <f>IF(Onboarding!BC12=0,0,BC23/Onboarding!BC12)</f>
        <v/>
      </c>
      <c r="BD28" s="769">
        <f>IF(Onboarding!BD12=0,0,BD23/Onboarding!BD12)</f>
        <v/>
      </c>
      <c r="BE28" s="769">
        <f>IF(Onboarding!BE12=0,0,BE23/Onboarding!BE12)</f>
        <v/>
      </c>
      <c r="BF28" s="769">
        <f>IF(Onboarding!BF12=0,0,BF23/Onboarding!BF12)</f>
        <v/>
      </c>
      <c r="BG28" s="769">
        <f>IF(Onboarding!BG12=0,0,BG23/Onboarding!BG12)</f>
        <v/>
      </c>
      <c r="BH28" s="769">
        <f>IF(Onboarding!BH12=0,0,BH23/Onboarding!BH12)</f>
        <v/>
      </c>
      <c r="BI28" s="769">
        <f>IF(Onboarding!BI12=0,0,BI23/Onboarding!BI12)</f>
        <v/>
      </c>
    </row>
  </sheetData>
  <pageMargins left="0.7" right="0.7" top="0.75" bottom="0.75" header="0.3" footer="0.3"/>
  <pageSetup orientation="portrait" horizontalDpi="0" verticalDpi="0"/>
</worksheet>
</file>

<file path=xl/worksheets/sheet13.xml><?xml version="1.0" encoding="utf-8"?>
<worksheet xmlns="http://schemas.openxmlformats.org/spreadsheetml/2006/main">
  <sheetPr>
    <tabColor rgb="FF548235"/>
    <outlinePr summaryBelow="1" summaryRight="1"/>
    <pageSetUpPr/>
  </sheetPr>
  <dimension ref="A1:BK38"/>
  <sheetViews>
    <sheetView workbookViewId="0">
      <pane xSplit="1" ySplit="3" topLeftCell="R4" activePane="bottomRight" state="frozen"/>
      <selection pane="topRight" activeCell="B1" sqref="B1"/>
      <selection pane="bottomLeft" activeCell="A4" sqref="A4"/>
      <selection pane="bottomRight" activeCell="BK3" sqref="BK3"/>
    </sheetView>
  </sheetViews>
  <sheetFormatPr baseColWidth="10" defaultRowHeight="16"/>
  <cols>
    <col width="43.33203125" customWidth="1" min="1" max="1"/>
    <col width="15" customWidth="1" min="2" max="61"/>
    <col width="18.33203125" customWidth="1" min="62" max="62"/>
    <col width="21.6640625" customWidth="1" min="63" max="63"/>
  </cols>
  <sheetData>
    <row r="1">
      <c r="A1" s="85" t="inlineStr">
        <is>
          <t>ESTADOS FINANCIEROS — Proyección Mensual</t>
        </is>
      </c>
      <c r="BK1" s="430" t="inlineStr">
        <is>
          <t>⚡ ESCENARIO</t>
        </is>
      </c>
    </row>
    <row r="2">
      <c r="BK2" s="327">
        <f>CHOOSE(Escenarios!B4,"PESIMISTA","BASE","OPTIMISTA")</f>
        <v/>
      </c>
    </row>
    <row r="3">
      <c r="A3" s="87" t="inlineStr">
        <is>
          <t>Concepto</t>
        </is>
      </c>
      <c r="B3" s="90" t="n">
        <v>1</v>
      </c>
      <c r="C3" s="90" t="n">
        <v>2</v>
      </c>
      <c r="D3" s="90" t="n">
        <v>3</v>
      </c>
      <c r="E3" s="90" t="n">
        <v>4</v>
      </c>
      <c r="F3" s="90" t="n">
        <v>5</v>
      </c>
      <c r="G3" s="90" t="n">
        <v>6</v>
      </c>
      <c r="H3" s="90" t="n">
        <v>7</v>
      </c>
      <c r="I3" s="90" t="n">
        <v>8</v>
      </c>
      <c r="J3" s="90" t="n">
        <v>9</v>
      </c>
      <c r="K3" s="90" t="n">
        <v>10</v>
      </c>
      <c r="L3" s="90" t="n">
        <v>11</v>
      </c>
      <c r="M3" s="90" t="n">
        <v>12</v>
      </c>
      <c r="N3" s="90" t="n">
        <v>13</v>
      </c>
      <c r="O3" s="90" t="n">
        <v>14</v>
      </c>
      <c r="P3" s="90" t="n">
        <v>15</v>
      </c>
      <c r="Q3" s="90" t="n">
        <v>16</v>
      </c>
      <c r="R3" s="90" t="n">
        <v>17</v>
      </c>
      <c r="S3" s="90" t="n">
        <v>18</v>
      </c>
      <c r="T3" s="90" t="n">
        <v>19</v>
      </c>
      <c r="U3" s="90" t="n">
        <v>20</v>
      </c>
      <c r="V3" s="90" t="n">
        <v>21</v>
      </c>
      <c r="W3" s="90" t="n">
        <v>22</v>
      </c>
      <c r="X3" s="90" t="n">
        <v>23</v>
      </c>
      <c r="Y3" s="90" t="n">
        <v>24</v>
      </c>
      <c r="Z3" s="90" t="n">
        <v>25</v>
      </c>
      <c r="AA3" s="90" t="n">
        <v>26</v>
      </c>
      <c r="AB3" s="90" t="n">
        <v>27</v>
      </c>
      <c r="AC3" s="90" t="n">
        <v>28</v>
      </c>
      <c r="AD3" s="90" t="n">
        <v>29</v>
      </c>
      <c r="AE3" s="90" t="n">
        <v>30</v>
      </c>
      <c r="AF3" s="90" t="n">
        <v>31</v>
      </c>
      <c r="AG3" s="90" t="n">
        <v>32</v>
      </c>
      <c r="AH3" s="90" t="n">
        <v>33</v>
      </c>
      <c r="AI3" s="90" t="n">
        <v>34</v>
      </c>
      <c r="AJ3" s="90" t="n">
        <v>35</v>
      </c>
      <c r="AK3" s="90" t="n">
        <v>36</v>
      </c>
      <c r="AL3" s="90" t="n">
        <v>37</v>
      </c>
      <c r="AM3" s="90" t="n">
        <v>38</v>
      </c>
      <c r="AN3" s="90" t="n">
        <v>39</v>
      </c>
      <c r="AO3" s="90" t="n">
        <v>40</v>
      </c>
      <c r="AP3" s="90" t="n">
        <v>41</v>
      </c>
      <c r="AQ3" s="90" t="n">
        <v>42</v>
      </c>
      <c r="AR3" s="90" t="n">
        <v>43</v>
      </c>
      <c r="AS3" s="90" t="n">
        <v>44</v>
      </c>
      <c r="AT3" s="90" t="n">
        <v>45</v>
      </c>
      <c r="AU3" s="90" t="n">
        <v>46</v>
      </c>
      <c r="AV3" s="90" t="n">
        <v>47</v>
      </c>
      <c r="AW3" s="90" t="n">
        <v>48</v>
      </c>
      <c r="AX3" s="90" t="n">
        <v>49</v>
      </c>
      <c r="AY3" s="90" t="n">
        <v>50</v>
      </c>
      <c r="AZ3" s="90" t="n">
        <v>51</v>
      </c>
      <c r="BA3" s="90" t="n">
        <v>52</v>
      </c>
      <c r="BB3" s="90" t="n">
        <v>53</v>
      </c>
      <c r="BC3" s="90" t="n">
        <v>54</v>
      </c>
      <c r="BD3" s="90" t="n">
        <v>55</v>
      </c>
      <c r="BE3" s="90" t="n">
        <v>56</v>
      </c>
      <c r="BF3" s="90" t="n">
        <v>57</v>
      </c>
      <c r="BG3" s="90" t="n">
        <v>58</v>
      </c>
      <c r="BH3" s="90" t="n">
        <v>59</v>
      </c>
      <c r="BI3" s="90" t="n">
        <v>60</v>
      </c>
      <c r="BJ3" s="90" t="inlineStr">
        <is>
          <t>TOTAL</t>
        </is>
      </c>
      <c r="BK3" s="431">
        <f>HYPERLINK("#Escenarios!B4","✏️ Cambiar escenario →")</f>
        <v/>
      </c>
    </row>
    <row r="5">
      <c r="A5" s="87" t="inlineStr">
        <is>
          <t>INGRESOS</t>
        </is>
      </c>
    </row>
    <row r="6">
      <c r="A6" t="inlineStr">
        <is>
          <t xml:space="preserve">  Ingresos One-Off</t>
        </is>
      </c>
      <c r="B6" s="721">
        <f>Ingresos!B8</f>
        <v/>
      </c>
      <c r="C6" s="721">
        <f>Ingresos!C8</f>
        <v/>
      </c>
      <c r="D6" s="721">
        <f>Ingresos!D8</f>
        <v/>
      </c>
      <c r="E6" s="721">
        <f>Ingresos!E8</f>
        <v/>
      </c>
      <c r="F6" s="721">
        <f>Ingresos!F8</f>
        <v/>
      </c>
      <c r="G6" s="721">
        <f>Ingresos!G8</f>
        <v/>
      </c>
      <c r="H6" s="721">
        <f>Ingresos!H8</f>
        <v/>
      </c>
      <c r="I6" s="721">
        <f>Ingresos!I8</f>
        <v/>
      </c>
      <c r="J6" s="721">
        <f>Ingresos!J8</f>
        <v/>
      </c>
      <c r="K6" s="721">
        <f>Ingresos!K8</f>
        <v/>
      </c>
      <c r="L6" s="721">
        <f>Ingresos!L8</f>
        <v/>
      </c>
      <c r="M6" s="721">
        <f>Ingresos!M8</f>
        <v/>
      </c>
      <c r="N6" s="721">
        <f>Ingresos!N8</f>
        <v/>
      </c>
      <c r="O6" s="721">
        <f>Ingresos!O8</f>
        <v/>
      </c>
      <c r="P6" s="721">
        <f>Ingresos!P8</f>
        <v/>
      </c>
      <c r="Q6" s="721">
        <f>Ingresos!Q8</f>
        <v/>
      </c>
      <c r="R6" s="721">
        <f>Ingresos!R8</f>
        <v/>
      </c>
      <c r="S6" s="721">
        <f>Ingresos!S8</f>
        <v/>
      </c>
      <c r="T6" s="721">
        <f>Ingresos!T8</f>
        <v/>
      </c>
      <c r="U6" s="721">
        <f>Ingresos!U8</f>
        <v/>
      </c>
      <c r="V6" s="721">
        <f>Ingresos!V8</f>
        <v/>
      </c>
      <c r="W6" s="721">
        <f>Ingresos!W8</f>
        <v/>
      </c>
      <c r="X6" s="721">
        <f>Ingresos!X8</f>
        <v/>
      </c>
      <c r="Y6" s="721">
        <f>Ingresos!Y8</f>
        <v/>
      </c>
      <c r="Z6" s="721">
        <f>Ingresos!Z8</f>
        <v/>
      </c>
      <c r="AA6" s="721">
        <f>Ingresos!AA8</f>
        <v/>
      </c>
      <c r="AB6" s="721">
        <f>Ingresos!AB8</f>
        <v/>
      </c>
      <c r="AC6" s="721">
        <f>Ingresos!AC8</f>
        <v/>
      </c>
      <c r="AD6" s="721">
        <f>Ingresos!AD8</f>
        <v/>
      </c>
      <c r="AE6" s="721">
        <f>Ingresos!AE8</f>
        <v/>
      </c>
      <c r="AF6" s="721">
        <f>Ingresos!AF8</f>
        <v/>
      </c>
      <c r="AG6" s="721">
        <f>Ingresos!AG8</f>
        <v/>
      </c>
      <c r="AH6" s="721">
        <f>Ingresos!AH8</f>
        <v/>
      </c>
      <c r="AI6" s="721">
        <f>Ingresos!AI8</f>
        <v/>
      </c>
      <c r="AJ6" s="721">
        <f>Ingresos!AJ8</f>
        <v/>
      </c>
      <c r="AK6" s="721">
        <f>Ingresos!AK8</f>
        <v/>
      </c>
      <c r="AL6" s="721">
        <f>Ingresos!AL8</f>
        <v/>
      </c>
      <c r="AM6" s="721">
        <f>Ingresos!AM8</f>
        <v/>
      </c>
      <c r="AN6" s="721">
        <f>Ingresos!AN8</f>
        <v/>
      </c>
      <c r="AO6" s="721">
        <f>Ingresos!AO8</f>
        <v/>
      </c>
      <c r="AP6" s="721">
        <f>Ingresos!AP8</f>
        <v/>
      </c>
      <c r="AQ6" s="721">
        <f>Ingresos!AQ8</f>
        <v/>
      </c>
      <c r="AR6" s="721">
        <f>Ingresos!AR8</f>
        <v/>
      </c>
      <c r="AS6" s="721">
        <f>Ingresos!AS8</f>
        <v/>
      </c>
      <c r="AT6" s="721">
        <f>Ingresos!AT8</f>
        <v/>
      </c>
      <c r="AU6" s="721">
        <f>Ingresos!AU8</f>
        <v/>
      </c>
      <c r="AV6" s="721">
        <f>Ingresos!AV8</f>
        <v/>
      </c>
      <c r="AW6" s="721">
        <f>Ingresos!AW8</f>
        <v/>
      </c>
      <c r="AX6" s="721">
        <f>Ingresos!AX8</f>
        <v/>
      </c>
      <c r="AY6" s="721">
        <f>Ingresos!AY8</f>
        <v/>
      </c>
      <c r="AZ6" s="721">
        <f>Ingresos!AZ8</f>
        <v/>
      </c>
      <c r="BA6" s="721">
        <f>Ingresos!BA8</f>
        <v/>
      </c>
      <c r="BB6" s="721">
        <f>Ingresos!BB8</f>
        <v/>
      </c>
      <c r="BC6" s="721">
        <f>Ingresos!BC8</f>
        <v/>
      </c>
      <c r="BD6" s="721">
        <f>Ingresos!BD8</f>
        <v/>
      </c>
      <c r="BE6" s="721">
        <f>Ingresos!BE8</f>
        <v/>
      </c>
      <c r="BF6" s="721">
        <f>Ingresos!BF8</f>
        <v/>
      </c>
      <c r="BG6" s="721">
        <f>Ingresos!BG8</f>
        <v/>
      </c>
      <c r="BH6" s="721">
        <f>Ingresos!BH8</f>
        <v/>
      </c>
      <c r="BI6" s="721">
        <f>Ingresos!BI8</f>
        <v/>
      </c>
      <c r="BJ6" s="720">
        <f>SUM(B6:BI6)</f>
        <v/>
      </c>
    </row>
    <row r="7">
      <c r="A7" s="87" t="inlineStr">
        <is>
          <t xml:space="preserve">  Ingresos Recurrentes</t>
        </is>
      </c>
      <c r="B7" s="721">
        <f>Ingresos!B17</f>
        <v/>
      </c>
      <c r="C7" s="721">
        <f>Ingresos!C17</f>
        <v/>
      </c>
      <c r="D7" s="721">
        <f>Ingresos!D17</f>
        <v/>
      </c>
      <c r="E7" s="721">
        <f>Ingresos!E17</f>
        <v/>
      </c>
      <c r="F7" s="721">
        <f>Ingresos!F17</f>
        <v/>
      </c>
      <c r="G7" s="721">
        <f>Ingresos!G17</f>
        <v/>
      </c>
      <c r="H7" s="721">
        <f>Ingresos!H17</f>
        <v/>
      </c>
      <c r="I7" s="721">
        <f>Ingresos!I17</f>
        <v/>
      </c>
      <c r="J7" s="721">
        <f>Ingresos!J17</f>
        <v/>
      </c>
      <c r="K7" s="721">
        <f>Ingresos!K17</f>
        <v/>
      </c>
      <c r="L7" s="721">
        <f>Ingresos!L17</f>
        <v/>
      </c>
      <c r="M7" s="721">
        <f>Ingresos!M17</f>
        <v/>
      </c>
      <c r="N7" s="721">
        <f>Ingresos!N17</f>
        <v/>
      </c>
      <c r="O7" s="721">
        <f>Ingresos!O17</f>
        <v/>
      </c>
      <c r="P7" s="721">
        <f>Ingresos!P17</f>
        <v/>
      </c>
      <c r="Q7" s="721">
        <f>Ingresos!Q17</f>
        <v/>
      </c>
      <c r="R7" s="721">
        <f>Ingresos!R17</f>
        <v/>
      </c>
      <c r="S7" s="721">
        <f>Ingresos!S17</f>
        <v/>
      </c>
      <c r="T7" s="721">
        <f>Ingresos!T17</f>
        <v/>
      </c>
      <c r="U7" s="721">
        <f>Ingresos!U17</f>
        <v/>
      </c>
      <c r="V7" s="721">
        <f>Ingresos!V17</f>
        <v/>
      </c>
      <c r="W7" s="721">
        <f>Ingresos!W17</f>
        <v/>
      </c>
      <c r="X7" s="721">
        <f>Ingresos!X17</f>
        <v/>
      </c>
      <c r="Y7" s="721">
        <f>Ingresos!Y17</f>
        <v/>
      </c>
      <c r="Z7" s="721">
        <f>Ingresos!Z17</f>
        <v/>
      </c>
      <c r="AA7" s="721">
        <f>Ingresos!AA17</f>
        <v/>
      </c>
      <c r="AB7" s="721">
        <f>Ingresos!AB17</f>
        <v/>
      </c>
      <c r="AC7" s="721">
        <f>Ingresos!AC17</f>
        <v/>
      </c>
      <c r="AD7" s="721">
        <f>Ingresos!AD17</f>
        <v/>
      </c>
      <c r="AE7" s="721">
        <f>Ingresos!AE17</f>
        <v/>
      </c>
      <c r="AF7" s="721">
        <f>Ingresos!AF17</f>
        <v/>
      </c>
      <c r="AG7" s="721">
        <f>Ingresos!AG17</f>
        <v/>
      </c>
      <c r="AH7" s="721">
        <f>Ingresos!AH17</f>
        <v/>
      </c>
      <c r="AI7" s="721">
        <f>Ingresos!AI17</f>
        <v/>
      </c>
      <c r="AJ7" s="721">
        <f>Ingresos!AJ17</f>
        <v/>
      </c>
      <c r="AK7" s="721">
        <f>Ingresos!AK17</f>
        <v/>
      </c>
      <c r="AL7" s="721">
        <f>Ingresos!AL17</f>
        <v/>
      </c>
      <c r="AM7" s="721">
        <f>Ingresos!AM17</f>
        <v/>
      </c>
      <c r="AN7" s="721">
        <f>Ingresos!AN17</f>
        <v/>
      </c>
      <c r="AO7" s="721">
        <f>Ingresos!AO17</f>
        <v/>
      </c>
      <c r="AP7" s="721">
        <f>Ingresos!AP17</f>
        <v/>
      </c>
      <c r="AQ7" s="721">
        <f>Ingresos!AQ17</f>
        <v/>
      </c>
      <c r="AR7" s="721">
        <f>Ingresos!AR17</f>
        <v/>
      </c>
      <c r="AS7" s="721">
        <f>Ingresos!AS17</f>
        <v/>
      </c>
      <c r="AT7" s="721">
        <f>Ingresos!AT17</f>
        <v/>
      </c>
      <c r="AU7" s="721">
        <f>Ingresos!AU17</f>
        <v/>
      </c>
      <c r="AV7" s="721">
        <f>Ingresos!AV17</f>
        <v/>
      </c>
      <c r="AW7" s="721">
        <f>Ingresos!AW17</f>
        <v/>
      </c>
      <c r="AX7" s="721">
        <f>Ingresos!AX17</f>
        <v/>
      </c>
      <c r="AY7" s="721">
        <f>Ingresos!AY17</f>
        <v/>
      </c>
      <c r="AZ7" s="721">
        <f>Ingresos!AZ17</f>
        <v/>
      </c>
      <c r="BA7" s="721">
        <f>Ingresos!BA17</f>
        <v/>
      </c>
      <c r="BB7" s="721">
        <f>Ingresos!BB17</f>
        <v/>
      </c>
      <c r="BC7" s="721">
        <f>Ingresos!BC17</f>
        <v/>
      </c>
      <c r="BD7" s="721">
        <f>Ingresos!BD17</f>
        <v/>
      </c>
      <c r="BE7" s="721">
        <f>Ingresos!BE17</f>
        <v/>
      </c>
      <c r="BF7" s="721">
        <f>Ingresos!BF17</f>
        <v/>
      </c>
      <c r="BG7" s="721">
        <f>Ingresos!BG17</f>
        <v/>
      </c>
      <c r="BH7" s="721">
        <f>Ingresos!BH17</f>
        <v/>
      </c>
      <c r="BI7" s="721">
        <f>Ingresos!BI17</f>
        <v/>
      </c>
      <c r="BJ7" s="720">
        <f>SUM(B7:BI7)</f>
        <v/>
      </c>
    </row>
    <row r="8">
      <c r="A8" s="86" t="inlineStr">
        <is>
          <t>Total Ingresos</t>
        </is>
      </c>
      <c r="B8" s="770">
        <f>B6+B7</f>
        <v/>
      </c>
      <c r="C8" s="770">
        <f>C6+C7</f>
        <v/>
      </c>
      <c r="D8" s="770">
        <f>D6+D7</f>
        <v/>
      </c>
      <c r="E8" s="770">
        <f>E6+E7</f>
        <v/>
      </c>
      <c r="F8" s="770">
        <f>F6+F7</f>
        <v/>
      </c>
      <c r="G8" s="770">
        <f>G6+G7</f>
        <v/>
      </c>
      <c r="H8" s="770">
        <f>H6+H7</f>
        <v/>
      </c>
      <c r="I8" s="770">
        <f>I6+I7</f>
        <v/>
      </c>
      <c r="J8" s="770">
        <f>J6+J7</f>
        <v/>
      </c>
      <c r="K8" s="770">
        <f>K6+K7</f>
        <v/>
      </c>
      <c r="L8" s="770">
        <f>L6+L7</f>
        <v/>
      </c>
      <c r="M8" s="770">
        <f>M6+M7</f>
        <v/>
      </c>
      <c r="N8" s="770">
        <f>N6+N7</f>
        <v/>
      </c>
      <c r="O8" s="770">
        <f>O6+O7</f>
        <v/>
      </c>
      <c r="P8" s="770">
        <f>P6+P7</f>
        <v/>
      </c>
      <c r="Q8" s="770">
        <f>Q6+Q7</f>
        <v/>
      </c>
      <c r="R8" s="770">
        <f>R6+R7</f>
        <v/>
      </c>
      <c r="S8" s="770">
        <f>S6+S7</f>
        <v/>
      </c>
      <c r="T8" s="770">
        <f>T6+T7</f>
        <v/>
      </c>
      <c r="U8" s="770">
        <f>U6+U7</f>
        <v/>
      </c>
      <c r="V8" s="770">
        <f>V6+V7</f>
        <v/>
      </c>
      <c r="W8" s="770">
        <f>W6+W7</f>
        <v/>
      </c>
      <c r="X8" s="770">
        <f>X6+X7</f>
        <v/>
      </c>
      <c r="Y8" s="770">
        <f>Y6+Y7</f>
        <v/>
      </c>
      <c r="Z8" s="770">
        <f>Z6+Z7</f>
        <v/>
      </c>
      <c r="AA8" s="770">
        <f>AA6+AA7</f>
        <v/>
      </c>
      <c r="AB8" s="770">
        <f>AB6+AB7</f>
        <v/>
      </c>
      <c r="AC8" s="770">
        <f>AC6+AC7</f>
        <v/>
      </c>
      <c r="AD8" s="770">
        <f>AD6+AD7</f>
        <v/>
      </c>
      <c r="AE8" s="770">
        <f>AE6+AE7</f>
        <v/>
      </c>
      <c r="AF8" s="770">
        <f>AF6+AF7</f>
        <v/>
      </c>
      <c r="AG8" s="770">
        <f>AG6+AG7</f>
        <v/>
      </c>
      <c r="AH8" s="770">
        <f>AH6+AH7</f>
        <v/>
      </c>
      <c r="AI8" s="770">
        <f>AI6+AI7</f>
        <v/>
      </c>
      <c r="AJ8" s="770">
        <f>AJ6+AJ7</f>
        <v/>
      </c>
      <c r="AK8" s="770">
        <f>AK6+AK7</f>
        <v/>
      </c>
      <c r="AL8" s="770">
        <f>AL6+AL7</f>
        <v/>
      </c>
      <c r="AM8" s="770">
        <f>AM6+AM7</f>
        <v/>
      </c>
      <c r="AN8" s="770">
        <f>AN6+AN7</f>
        <v/>
      </c>
      <c r="AO8" s="770">
        <f>AO6+AO7</f>
        <v/>
      </c>
      <c r="AP8" s="770">
        <f>AP6+AP7</f>
        <v/>
      </c>
      <c r="AQ8" s="770">
        <f>AQ6+AQ7</f>
        <v/>
      </c>
      <c r="AR8" s="770">
        <f>AR6+AR7</f>
        <v/>
      </c>
      <c r="AS8" s="770">
        <f>AS6+AS7</f>
        <v/>
      </c>
      <c r="AT8" s="770">
        <f>AT6+AT7</f>
        <v/>
      </c>
      <c r="AU8" s="770">
        <f>AU6+AU7</f>
        <v/>
      </c>
      <c r="AV8" s="770">
        <f>AV6+AV7</f>
        <v/>
      </c>
      <c r="AW8" s="770">
        <f>AW6+AW7</f>
        <v/>
      </c>
      <c r="AX8" s="770">
        <f>AX6+AX7</f>
        <v/>
      </c>
      <c r="AY8" s="770">
        <f>AY6+AY7</f>
        <v/>
      </c>
      <c r="AZ8" s="770">
        <f>AZ6+AZ7</f>
        <v/>
      </c>
      <c r="BA8" s="770">
        <f>BA6+BA7</f>
        <v/>
      </c>
      <c r="BB8" s="770">
        <f>BB6+BB7</f>
        <v/>
      </c>
      <c r="BC8" s="770">
        <f>BC6+BC7</f>
        <v/>
      </c>
      <c r="BD8" s="770">
        <f>BD6+BD7</f>
        <v/>
      </c>
      <c r="BE8" s="770">
        <f>BE6+BE7</f>
        <v/>
      </c>
      <c r="BF8" s="770">
        <f>BF6+BF7</f>
        <v/>
      </c>
      <c r="BG8" s="770">
        <f>BG6+BG7</f>
        <v/>
      </c>
      <c r="BH8" s="770">
        <f>BH6+BH7</f>
        <v/>
      </c>
      <c r="BI8" s="770">
        <f>BI6+BI7</f>
        <v/>
      </c>
      <c r="BJ8" s="770">
        <f>SUM(B8:BI8)</f>
        <v/>
      </c>
    </row>
    <row r="10">
      <c r="A10" s="87" t="inlineStr">
        <is>
          <t>COSTOS Y GASTOS</t>
        </is>
      </c>
    </row>
    <row r="11">
      <c r="A11" t="inlineStr">
        <is>
          <t xml:space="preserve">  Costos Directos</t>
        </is>
      </c>
      <c r="B11" s="721">
        <f>'Costos Directos'!B34</f>
        <v/>
      </c>
      <c r="C11" s="721">
        <f>'Costos Directos'!C34</f>
        <v/>
      </c>
      <c r="D11" s="721">
        <f>'Costos Directos'!D34</f>
        <v/>
      </c>
      <c r="E11" s="721">
        <f>'Costos Directos'!E34</f>
        <v/>
      </c>
      <c r="F11" s="721">
        <f>'Costos Directos'!F34</f>
        <v/>
      </c>
      <c r="G11" s="721">
        <f>'Costos Directos'!G34</f>
        <v/>
      </c>
      <c r="H11" s="721">
        <f>'Costos Directos'!H34</f>
        <v/>
      </c>
      <c r="I11" s="721">
        <f>'Costos Directos'!I34</f>
        <v/>
      </c>
      <c r="J11" s="721">
        <f>'Costos Directos'!J34</f>
        <v/>
      </c>
      <c r="K11" s="721">
        <f>'Costos Directos'!K34</f>
        <v/>
      </c>
      <c r="L11" s="721">
        <f>'Costos Directos'!L34</f>
        <v/>
      </c>
      <c r="M11" s="721">
        <f>'Costos Directos'!M34</f>
        <v/>
      </c>
      <c r="N11" s="721">
        <f>'Costos Directos'!N34</f>
        <v/>
      </c>
      <c r="O11" s="721">
        <f>'Costos Directos'!O34</f>
        <v/>
      </c>
      <c r="P11" s="721">
        <f>'Costos Directos'!P34</f>
        <v/>
      </c>
      <c r="Q11" s="721">
        <f>'Costos Directos'!Q34</f>
        <v/>
      </c>
      <c r="R11" s="721">
        <f>'Costos Directos'!R34</f>
        <v/>
      </c>
      <c r="S11" s="721">
        <f>'Costos Directos'!S34</f>
        <v/>
      </c>
      <c r="T11" s="721">
        <f>'Costos Directos'!T34</f>
        <v/>
      </c>
      <c r="U11" s="721">
        <f>'Costos Directos'!U34</f>
        <v/>
      </c>
      <c r="V11" s="721">
        <f>'Costos Directos'!V34</f>
        <v/>
      </c>
      <c r="W11" s="721">
        <f>'Costos Directos'!W34</f>
        <v/>
      </c>
      <c r="X11" s="721">
        <f>'Costos Directos'!X34</f>
        <v/>
      </c>
      <c r="Y11" s="721">
        <f>'Costos Directos'!Y34</f>
        <v/>
      </c>
      <c r="Z11" s="721">
        <f>'Costos Directos'!Z34</f>
        <v/>
      </c>
      <c r="AA11" s="721">
        <f>'Costos Directos'!AA34</f>
        <v/>
      </c>
      <c r="AB11" s="721">
        <f>'Costos Directos'!AB34</f>
        <v/>
      </c>
      <c r="AC11" s="721">
        <f>'Costos Directos'!AC34</f>
        <v/>
      </c>
      <c r="AD11" s="721">
        <f>'Costos Directos'!AD34</f>
        <v/>
      </c>
      <c r="AE11" s="721">
        <f>'Costos Directos'!AE34</f>
        <v/>
      </c>
      <c r="AF11" s="721">
        <f>'Costos Directos'!AF34</f>
        <v/>
      </c>
      <c r="AG11" s="721">
        <f>'Costos Directos'!AG34</f>
        <v/>
      </c>
      <c r="AH11" s="721">
        <f>'Costos Directos'!AH34</f>
        <v/>
      </c>
      <c r="AI11" s="721">
        <f>'Costos Directos'!AI34</f>
        <v/>
      </c>
      <c r="AJ11" s="721">
        <f>'Costos Directos'!AJ34</f>
        <v/>
      </c>
      <c r="AK11" s="721">
        <f>'Costos Directos'!AK34</f>
        <v/>
      </c>
      <c r="AL11" s="721">
        <f>'Costos Directos'!AL34</f>
        <v/>
      </c>
      <c r="AM11" s="721">
        <f>'Costos Directos'!AM34</f>
        <v/>
      </c>
      <c r="AN11" s="721">
        <f>'Costos Directos'!AN34</f>
        <v/>
      </c>
      <c r="AO11" s="721">
        <f>'Costos Directos'!AO34</f>
        <v/>
      </c>
      <c r="AP11" s="721">
        <f>'Costos Directos'!AP34</f>
        <v/>
      </c>
      <c r="AQ11" s="721">
        <f>'Costos Directos'!AQ34</f>
        <v/>
      </c>
      <c r="AR11" s="721">
        <f>'Costos Directos'!AR34</f>
        <v/>
      </c>
      <c r="AS11" s="721">
        <f>'Costos Directos'!AS34</f>
        <v/>
      </c>
      <c r="AT11" s="721">
        <f>'Costos Directos'!AT34</f>
        <v/>
      </c>
      <c r="AU11" s="721">
        <f>'Costos Directos'!AU34</f>
        <v/>
      </c>
      <c r="AV11" s="721">
        <f>'Costos Directos'!AV34</f>
        <v/>
      </c>
      <c r="AW11" s="721">
        <f>'Costos Directos'!AW34</f>
        <v/>
      </c>
      <c r="AX11" s="721">
        <f>'Costos Directos'!AX34</f>
        <v/>
      </c>
      <c r="AY11" s="721">
        <f>'Costos Directos'!AY34</f>
        <v/>
      </c>
      <c r="AZ11" s="721">
        <f>'Costos Directos'!AZ34</f>
        <v/>
      </c>
      <c r="BA11" s="721">
        <f>'Costos Directos'!BA34</f>
        <v/>
      </c>
      <c r="BB11" s="721">
        <f>'Costos Directos'!BB34</f>
        <v/>
      </c>
      <c r="BC11" s="721">
        <f>'Costos Directos'!BC34</f>
        <v/>
      </c>
      <c r="BD11" s="721">
        <f>'Costos Directos'!BD34</f>
        <v/>
      </c>
      <c r="BE11" s="721">
        <f>'Costos Directos'!BE34</f>
        <v/>
      </c>
      <c r="BF11" s="721">
        <f>'Costos Directos'!BF34</f>
        <v/>
      </c>
      <c r="BG11" s="721">
        <f>'Costos Directos'!BG34</f>
        <v/>
      </c>
      <c r="BH11" s="721">
        <f>'Costos Directos'!BH34</f>
        <v/>
      </c>
      <c r="BI11" s="721">
        <f>'Costos Directos'!BI34</f>
        <v/>
      </c>
      <c r="BJ11" s="720">
        <f>SUM(B11:BI11)</f>
        <v/>
      </c>
    </row>
    <row r="12">
      <c r="A12" s="32" t="inlineStr">
        <is>
          <t xml:space="preserve">    incl. Provisión Errores/Fraude</t>
        </is>
      </c>
      <c r="B12" s="771">
        <f>'Costos Directos'!B32</f>
        <v/>
      </c>
      <c r="C12" s="771">
        <f>'Costos Directos'!C32</f>
        <v/>
      </c>
      <c r="D12" s="771">
        <f>'Costos Directos'!D32</f>
        <v/>
      </c>
      <c r="E12" s="771">
        <f>'Costos Directos'!E32</f>
        <v/>
      </c>
      <c r="F12" s="771">
        <f>'Costos Directos'!F32</f>
        <v/>
      </c>
      <c r="G12" s="771">
        <f>'Costos Directos'!G32</f>
        <v/>
      </c>
      <c r="H12" s="771">
        <f>'Costos Directos'!H32</f>
        <v/>
      </c>
      <c r="I12" s="771">
        <f>'Costos Directos'!I32</f>
        <v/>
      </c>
      <c r="J12" s="771">
        <f>'Costos Directos'!J32</f>
        <v/>
      </c>
      <c r="K12" s="771">
        <f>'Costos Directos'!K32</f>
        <v/>
      </c>
      <c r="L12" s="771">
        <f>'Costos Directos'!L32</f>
        <v/>
      </c>
      <c r="M12" s="771">
        <f>'Costos Directos'!M32</f>
        <v/>
      </c>
      <c r="N12" s="771">
        <f>'Costos Directos'!N32</f>
        <v/>
      </c>
      <c r="O12" s="771">
        <f>'Costos Directos'!O32</f>
        <v/>
      </c>
      <c r="P12" s="771">
        <f>'Costos Directos'!P32</f>
        <v/>
      </c>
      <c r="Q12" s="771">
        <f>'Costos Directos'!Q32</f>
        <v/>
      </c>
      <c r="R12" s="771">
        <f>'Costos Directos'!R32</f>
        <v/>
      </c>
      <c r="S12" s="771">
        <f>'Costos Directos'!S32</f>
        <v/>
      </c>
      <c r="T12" s="771">
        <f>'Costos Directos'!T32</f>
        <v/>
      </c>
      <c r="U12" s="771">
        <f>'Costos Directos'!U32</f>
        <v/>
      </c>
      <c r="V12" s="771">
        <f>'Costos Directos'!V32</f>
        <v/>
      </c>
      <c r="W12" s="771">
        <f>'Costos Directos'!W32</f>
        <v/>
      </c>
      <c r="X12" s="771">
        <f>'Costos Directos'!X32</f>
        <v/>
      </c>
      <c r="Y12" s="771">
        <f>'Costos Directos'!Y32</f>
        <v/>
      </c>
      <c r="Z12" s="771">
        <f>'Costos Directos'!Z32</f>
        <v/>
      </c>
      <c r="AA12" s="771">
        <f>'Costos Directos'!AA32</f>
        <v/>
      </c>
      <c r="AB12" s="771">
        <f>'Costos Directos'!AB32</f>
        <v/>
      </c>
      <c r="AC12" s="771">
        <f>'Costos Directos'!AC32</f>
        <v/>
      </c>
      <c r="AD12" s="771">
        <f>'Costos Directos'!AD32</f>
        <v/>
      </c>
      <c r="AE12" s="771">
        <f>'Costos Directos'!AE32</f>
        <v/>
      </c>
      <c r="AF12" s="771">
        <f>'Costos Directos'!AF32</f>
        <v/>
      </c>
      <c r="AG12" s="771">
        <f>'Costos Directos'!AG32</f>
        <v/>
      </c>
      <c r="AH12" s="771">
        <f>'Costos Directos'!AH32</f>
        <v/>
      </c>
      <c r="AI12" s="771">
        <f>'Costos Directos'!AI32</f>
        <v/>
      </c>
      <c r="AJ12" s="771">
        <f>'Costos Directos'!AJ32</f>
        <v/>
      </c>
      <c r="AK12" s="771">
        <f>'Costos Directos'!AK32</f>
        <v/>
      </c>
      <c r="AL12" s="771">
        <f>'Costos Directos'!AL32</f>
        <v/>
      </c>
      <c r="AM12" s="771">
        <f>'Costos Directos'!AM32</f>
        <v/>
      </c>
      <c r="AN12" s="771">
        <f>'Costos Directos'!AN32</f>
        <v/>
      </c>
      <c r="AO12" s="771">
        <f>'Costos Directos'!AO32</f>
        <v/>
      </c>
      <c r="AP12" s="771">
        <f>'Costos Directos'!AP32</f>
        <v/>
      </c>
      <c r="AQ12" s="771">
        <f>'Costos Directos'!AQ32</f>
        <v/>
      </c>
      <c r="AR12" s="771">
        <f>'Costos Directos'!AR32</f>
        <v/>
      </c>
      <c r="AS12" s="771">
        <f>'Costos Directos'!AS32</f>
        <v/>
      </c>
      <c r="AT12" s="771">
        <f>'Costos Directos'!AT32</f>
        <v/>
      </c>
      <c r="AU12" s="771">
        <f>'Costos Directos'!AU32</f>
        <v/>
      </c>
      <c r="AV12" s="771">
        <f>'Costos Directos'!AV32</f>
        <v/>
      </c>
      <c r="AW12" s="771">
        <f>'Costos Directos'!AW32</f>
        <v/>
      </c>
      <c r="AX12" s="771">
        <f>'Costos Directos'!AX32</f>
        <v/>
      </c>
      <c r="AY12" s="771">
        <f>'Costos Directos'!AY32</f>
        <v/>
      </c>
      <c r="AZ12" s="771">
        <f>'Costos Directos'!AZ32</f>
        <v/>
      </c>
      <c r="BA12" s="771">
        <f>'Costos Directos'!BA32</f>
        <v/>
      </c>
      <c r="BB12" s="771">
        <f>'Costos Directos'!BB32</f>
        <v/>
      </c>
      <c r="BC12" s="771">
        <f>'Costos Directos'!BC32</f>
        <v/>
      </c>
      <c r="BD12" s="771">
        <f>'Costos Directos'!BD32</f>
        <v/>
      </c>
      <c r="BE12" s="771">
        <f>'Costos Directos'!BE32</f>
        <v/>
      </c>
      <c r="BF12" s="771">
        <f>'Costos Directos'!BF32</f>
        <v/>
      </c>
      <c r="BG12" s="771">
        <f>'Costos Directos'!BG32</f>
        <v/>
      </c>
      <c r="BH12" s="771">
        <f>'Costos Directos'!BH32</f>
        <v/>
      </c>
      <c r="BI12" s="771">
        <f>'Costos Directos'!BI32</f>
        <v/>
      </c>
      <c r="BJ12" s="772">
        <f>SUM(B12:BI12)</f>
        <v/>
      </c>
    </row>
    <row r="13">
      <c r="A13" s="86" t="inlineStr">
        <is>
          <t>Utilidad Bruta</t>
        </is>
      </c>
      <c r="B13" s="770">
        <f>B8-B11</f>
        <v/>
      </c>
      <c r="C13" s="770">
        <f>C8-C11</f>
        <v/>
      </c>
      <c r="D13" s="770">
        <f>D8-D11</f>
        <v/>
      </c>
      <c r="E13" s="770">
        <f>E8-E11</f>
        <v/>
      </c>
      <c r="F13" s="770">
        <f>F8-F11</f>
        <v/>
      </c>
      <c r="G13" s="770">
        <f>G8-G11</f>
        <v/>
      </c>
      <c r="H13" s="770">
        <f>H8-H11</f>
        <v/>
      </c>
      <c r="I13" s="770">
        <f>I8-I11</f>
        <v/>
      </c>
      <c r="J13" s="770">
        <f>J8-J11</f>
        <v/>
      </c>
      <c r="K13" s="770">
        <f>K8-K11</f>
        <v/>
      </c>
      <c r="L13" s="770">
        <f>L8-L11</f>
        <v/>
      </c>
      <c r="M13" s="770">
        <f>M8-M11</f>
        <v/>
      </c>
      <c r="N13" s="770">
        <f>N8-N11</f>
        <v/>
      </c>
      <c r="O13" s="770">
        <f>O8-O11</f>
        <v/>
      </c>
      <c r="P13" s="770">
        <f>P8-P11</f>
        <v/>
      </c>
      <c r="Q13" s="770">
        <f>Q8-Q11</f>
        <v/>
      </c>
      <c r="R13" s="770">
        <f>R8-R11</f>
        <v/>
      </c>
      <c r="S13" s="770">
        <f>S8-S11</f>
        <v/>
      </c>
      <c r="T13" s="770">
        <f>T8-T11</f>
        <v/>
      </c>
      <c r="U13" s="770">
        <f>U8-U11</f>
        <v/>
      </c>
      <c r="V13" s="770">
        <f>V8-V11</f>
        <v/>
      </c>
      <c r="W13" s="770">
        <f>W8-W11</f>
        <v/>
      </c>
      <c r="X13" s="770">
        <f>X8-X11</f>
        <v/>
      </c>
      <c r="Y13" s="770">
        <f>Y8-Y11</f>
        <v/>
      </c>
      <c r="Z13" s="770">
        <f>Z8-Z11</f>
        <v/>
      </c>
      <c r="AA13" s="770">
        <f>AA8-AA11</f>
        <v/>
      </c>
      <c r="AB13" s="770">
        <f>AB8-AB11</f>
        <v/>
      </c>
      <c r="AC13" s="770">
        <f>AC8-AC11</f>
        <v/>
      </c>
      <c r="AD13" s="770">
        <f>AD8-AD11</f>
        <v/>
      </c>
      <c r="AE13" s="770">
        <f>AE8-AE11</f>
        <v/>
      </c>
      <c r="AF13" s="770">
        <f>AF8-AF11</f>
        <v/>
      </c>
      <c r="AG13" s="770">
        <f>AG8-AG11</f>
        <v/>
      </c>
      <c r="AH13" s="770">
        <f>AH8-AH11</f>
        <v/>
      </c>
      <c r="AI13" s="770">
        <f>AI8-AI11</f>
        <v/>
      </c>
      <c r="AJ13" s="770">
        <f>AJ8-AJ11</f>
        <v/>
      </c>
      <c r="AK13" s="770">
        <f>AK8-AK11</f>
        <v/>
      </c>
      <c r="AL13" s="770">
        <f>AL8-AL11</f>
        <v/>
      </c>
      <c r="AM13" s="770">
        <f>AM8-AM11</f>
        <v/>
      </c>
      <c r="AN13" s="770">
        <f>AN8-AN11</f>
        <v/>
      </c>
      <c r="AO13" s="770">
        <f>AO8-AO11</f>
        <v/>
      </c>
      <c r="AP13" s="770">
        <f>AP8-AP11</f>
        <v/>
      </c>
      <c r="AQ13" s="770">
        <f>AQ8-AQ11</f>
        <v/>
      </c>
      <c r="AR13" s="770">
        <f>AR8-AR11</f>
        <v/>
      </c>
      <c r="AS13" s="770">
        <f>AS8-AS11</f>
        <v/>
      </c>
      <c r="AT13" s="770">
        <f>AT8-AT11</f>
        <v/>
      </c>
      <c r="AU13" s="770">
        <f>AU8-AU11</f>
        <v/>
      </c>
      <c r="AV13" s="770">
        <f>AV8-AV11</f>
        <v/>
      </c>
      <c r="AW13" s="770">
        <f>AW8-AW11</f>
        <v/>
      </c>
      <c r="AX13" s="770">
        <f>AX8-AX11</f>
        <v/>
      </c>
      <c r="AY13" s="770">
        <f>AY8-AY11</f>
        <v/>
      </c>
      <c r="AZ13" s="770">
        <f>AZ8-AZ11</f>
        <v/>
      </c>
      <c r="BA13" s="770">
        <f>BA8-BA11</f>
        <v/>
      </c>
      <c r="BB13" s="770">
        <f>BB8-BB11</f>
        <v/>
      </c>
      <c r="BC13" s="770">
        <f>BC8-BC11</f>
        <v/>
      </c>
      <c r="BD13" s="770">
        <f>BD8-BD11</f>
        <v/>
      </c>
      <c r="BE13" s="770">
        <f>BE8-BE11</f>
        <v/>
      </c>
      <c r="BF13" s="770">
        <f>BF8-BF11</f>
        <v/>
      </c>
      <c r="BG13" s="770">
        <f>BG8-BG11</f>
        <v/>
      </c>
      <c r="BH13" s="770">
        <f>BH8-BH11</f>
        <v/>
      </c>
      <c r="BI13" s="770">
        <f>BI8-BI11</f>
        <v/>
      </c>
      <c r="BJ13" s="770">
        <f>SUM(B13:BI13)</f>
        <v/>
      </c>
    </row>
    <row r="14">
      <c r="A14" s="88" t="inlineStr">
        <is>
          <t>Margen Bruto (%)</t>
        </is>
      </c>
      <c r="B14" s="773">
        <f>IF(B8=0,0,B13/B8)</f>
        <v/>
      </c>
      <c r="C14" s="773">
        <f>IF(C8=0,0,C13/C8)</f>
        <v/>
      </c>
      <c r="D14" s="773">
        <f>IF(D8=0,0,D13/D8)</f>
        <v/>
      </c>
      <c r="E14" s="773">
        <f>IF(E8=0,0,E13/E8)</f>
        <v/>
      </c>
      <c r="F14" s="773">
        <f>IF(F8=0,0,F13/F8)</f>
        <v/>
      </c>
      <c r="G14" s="773">
        <f>IF(G8=0,0,G13/G8)</f>
        <v/>
      </c>
      <c r="H14" s="773">
        <f>IF(H8=0,0,H13/H8)</f>
        <v/>
      </c>
      <c r="I14" s="773">
        <f>IF(I8=0,0,I13/I8)</f>
        <v/>
      </c>
      <c r="J14" s="773">
        <f>IF(J8=0,0,J13/J8)</f>
        <v/>
      </c>
      <c r="K14" s="773">
        <f>IF(K8=0,0,K13/K8)</f>
        <v/>
      </c>
      <c r="L14" s="773">
        <f>IF(L8=0,0,L13/L8)</f>
        <v/>
      </c>
      <c r="M14" s="773">
        <f>IF(M8=0,0,M13/M8)</f>
        <v/>
      </c>
      <c r="N14" s="773">
        <f>IF(N8=0,0,N13/N8)</f>
        <v/>
      </c>
      <c r="O14" s="773">
        <f>IF(O8=0,0,O13/O8)</f>
        <v/>
      </c>
      <c r="P14" s="773">
        <f>IF(P8=0,0,P13/P8)</f>
        <v/>
      </c>
      <c r="Q14" s="773">
        <f>IF(Q8=0,0,Q13/Q8)</f>
        <v/>
      </c>
      <c r="R14" s="773">
        <f>IF(R8=0,0,R13/R8)</f>
        <v/>
      </c>
      <c r="S14" s="773">
        <f>IF(S8=0,0,S13/S8)</f>
        <v/>
      </c>
      <c r="T14" s="773">
        <f>IF(T8=0,0,T13/T8)</f>
        <v/>
      </c>
      <c r="U14" s="773">
        <f>IF(U8=0,0,U13/U8)</f>
        <v/>
      </c>
      <c r="V14" s="773">
        <f>IF(V8=0,0,V13/V8)</f>
        <v/>
      </c>
      <c r="W14" s="773">
        <f>IF(W8=0,0,W13/W8)</f>
        <v/>
      </c>
      <c r="X14" s="773">
        <f>IF(X8=0,0,X13/X8)</f>
        <v/>
      </c>
      <c r="Y14" s="773">
        <f>IF(Y8=0,0,Y13/Y8)</f>
        <v/>
      </c>
      <c r="Z14" s="773">
        <f>IF(Z8=0,0,Z13/Z8)</f>
        <v/>
      </c>
      <c r="AA14" s="773">
        <f>IF(AA8=0,0,AA13/AA8)</f>
        <v/>
      </c>
      <c r="AB14" s="773">
        <f>IF(AB8=0,0,AB13/AB8)</f>
        <v/>
      </c>
      <c r="AC14" s="773">
        <f>IF(AC8=0,0,AC13/AC8)</f>
        <v/>
      </c>
      <c r="AD14" s="773">
        <f>IF(AD8=0,0,AD13/AD8)</f>
        <v/>
      </c>
      <c r="AE14" s="773">
        <f>IF(AE8=0,0,AE13/AE8)</f>
        <v/>
      </c>
      <c r="AF14" s="773">
        <f>IF(AF8=0,0,AF13/AF8)</f>
        <v/>
      </c>
      <c r="AG14" s="773">
        <f>IF(AG8=0,0,AG13/AG8)</f>
        <v/>
      </c>
      <c r="AH14" s="773">
        <f>IF(AH8=0,0,AH13/AH8)</f>
        <v/>
      </c>
      <c r="AI14" s="773">
        <f>IF(AI8=0,0,AI13/AI8)</f>
        <v/>
      </c>
      <c r="AJ14" s="773">
        <f>IF(AJ8=0,0,AJ13/AJ8)</f>
        <v/>
      </c>
      <c r="AK14" s="773">
        <f>IF(AK8=0,0,AK13/AK8)</f>
        <v/>
      </c>
      <c r="AL14" s="773">
        <f>IF(AL8=0,0,AL13/AL8)</f>
        <v/>
      </c>
      <c r="AM14" s="773">
        <f>IF(AM8=0,0,AM13/AM8)</f>
        <v/>
      </c>
      <c r="AN14" s="773">
        <f>IF(AN8=0,0,AN13/AN8)</f>
        <v/>
      </c>
      <c r="AO14" s="773">
        <f>IF(AO8=0,0,AO13/AO8)</f>
        <v/>
      </c>
      <c r="AP14" s="773">
        <f>IF(AP8=0,0,AP13/AP8)</f>
        <v/>
      </c>
      <c r="AQ14" s="773">
        <f>IF(AQ8=0,0,AQ13/AQ8)</f>
        <v/>
      </c>
      <c r="AR14" s="773">
        <f>IF(AR8=0,0,AR13/AR8)</f>
        <v/>
      </c>
      <c r="AS14" s="773">
        <f>IF(AS8=0,0,AS13/AS8)</f>
        <v/>
      </c>
      <c r="AT14" s="773">
        <f>IF(AT8=0,0,AT13/AT8)</f>
        <v/>
      </c>
      <c r="AU14" s="773">
        <f>IF(AU8=0,0,AU13/AU8)</f>
        <v/>
      </c>
      <c r="AV14" s="773">
        <f>IF(AV8=0,0,AV13/AV8)</f>
        <v/>
      </c>
      <c r="AW14" s="773">
        <f>IF(AW8=0,0,AW13/AW8)</f>
        <v/>
      </c>
      <c r="AX14" s="773">
        <f>IF(AX8=0,0,AX13/AX8)</f>
        <v/>
      </c>
      <c r="AY14" s="773">
        <f>IF(AY8=0,0,AY13/AY8)</f>
        <v/>
      </c>
      <c r="AZ14" s="773">
        <f>IF(AZ8=0,0,AZ13/AZ8)</f>
        <v/>
      </c>
      <c r="BA14" s="773">
        <f>IF(BA8=0,0,BA13/BA8)</f>
        <v/>
      </c>
      <c r="BB14" s="773">
        <f>IF(BB8=0,0,BB13/BB8)</f>
        <v/>
      </c>
      <c r="BC14" s="773">
        <f>IF(BC8=0,0,BC13/BC8)</f>
        <v/>
      </c>
      <c r="BD14" s="773">
        <f>IF(BD8=0,0,BD13/BD8)</f>
        <v/>
      </c>
      <c r="BE14" s="773">
        <f>IF(BE8=0,0,BE13/BE8)</f>
        <v/>
      </c>
      <c r="BF14" s="773">
        <f>IF(BF8=0,0,BF13/BF8)</f>
        <v/>
      </c>
      <c r="BG14" s="773">
        <f>IF(BG8=0,0,BG13/BG8)</f>
        <v/>
      </c>
      <c r="BH14" s="773">
        <f>IF(BH8=0,0,BH13/BH8)</f>
        <v/>
      </c>
      <c r="BI14" s="773">
        <f>IF(BI8=0,0,BI13/BI8)</f>
        <v/>
      </c>
      <c r="BJ14" s="774">
        <f>IF(BJ8=0,0,BJ13/BJ8)</f>
        <v/>
      </c>
    </row>
    <row r="16">
      <c r="A16" t="inlineStr">
        <is>
          <t xml:space="preserve">  CAC y Go-to-Market</t>
        </is>
      </c>
      <c r="B16" s="721">
        <f>'CAC y GTM'!B34</f>
        <v/>
      </c>
      <c r="C16" s="721">
        <f>'CAC y GTM'!C34</f>
        <v/>
      </c>
      <c r="D16" s="721">
        <f>'CAC y GTM'!D34</f>
        <v/>
      </c>
      <c r="E16" s="721">
        <f>'CAC y GTM'!E34</f>
        <v/>
      </c>
      <c r="F16" s="721">
        <f>'CAC y GTM'!F34</f>
        <v/>
      </c>
      <c r="G16" s="721">
        <f>'CAC y GTM'!G34</f>
        <v/>
      </c>
      <c r="H16" s="721">
        <f>'CAC y GTM'!H34</f>
        <v/>
      </c>
      <c r="I16" s="721">
        <f>'CAC y GTM'!I34</f>
        <v/>
      </c>
      <c r="J16" s="721">
        <f>'CAC y GTM'!J34</f>
        <v/>
      </c>
      <c r="K16" s="721">
        <f>'CAC y GTM'!K34</f>
        <v/>
      </c>
      <c r="L16" s="721">
        <f>'CAC y GTM'!L34</f>
        <v/>
      </c>
      <c r="M16" s="721">
        <f>'CAC y GTM'!M34</f>
        <v/>
      </c>
      <c r="N16" s="721">
        <f>'CAC y GTM'!N34</f>
        <v/>
      </c>
      <c r="O16" s="721">
        <f>'CAC y GTM'!O34</f>
        <v/>
      </c>
      <c r="P16" s="721">
        <f>'CAC y GTM'!P34</f>
        <v/>
      </c>
      <c r="Q16" s="721">
        <f>'CAC y GTM'!Q34</f>
        <v/>
      </c>
      <c r="R16" s="721">
        <f>'CAC y GTM'!R34</f>
        <v/>
      </c>
      <c r="S16" s="721">
        <f>'CAC y GTM'!S34</f>
        <v/>
      </c>
      <c r="T16" s="721">
        <f>'CAC y GTM'!T34</f>
        <v/>
      </c>
      <c r="U16" s="721">
        <f>'CAC y GTM'!U34</f>
        <v/>
      </c>
      <c r="V16" s="721">
        <f>'CAC y GTM'!V34</f>
        <v/>
      </c>
      <c r="W16" s="721">
        <f>'CAC y GTM'!W34</f>
        <v/>
      </c>
      <c r="X16" s="721">
        <f>'CAC y GTM'!X34</f>
        <v/>
      </c>
      <c r="Y16" s="721">
        <f>'CAC y GTM'!Y34</f>
        <v/>
      </c>
      <c r="Z16" s="721">
        <f>'CAC y GTM'!Z34</f>
        <v/>
      </c>
      <c r="AA16" s="721">
        <f>'CAC y GTM'!AA34</f>
        <v/>
      </c>
      <c r="AB16" s="721">
        <f>'CAC y GTM'!AB34</f>
        <v/>
      </c>
      <c r="AC16" s="721">
        <f>'CAC y GTM'!AC34</f>
        <v/>
      </c>
      <c r="AD16" s="721">
        <f>'CAC y GTM'!AD34</f>
        <v/>
      </c>
      <c r="AE16" s="721">
        <f>'CAC y GTM'!AE34</f>
        <v/>
      </c>
      <c r="AF16" s="721">
        <f>'CAC y GTM'!AF34</f>
        <v/>
      </c>
      <c r="AG16" s="721">
        <f>'CAC y GTM'!AG34</f>
        <v/>
      </c>
      <c r="AH16" s="721">
        <f>'CAC y GTM'!AH34</f>
        <v/>
      </c>
      <c r="AI16" s="721">
        <f>'CAC y GTM'!AI34</f>
        <v/>
      </c>
      <c r="AJ16" s="721">
        <f>'CAC y GTM'!AJ34</f>
        <v/>
      </c>
      <c r="AK16" s="721">
        <f>'CAC y GTM'!AK34</f>
        <v/>
      </c>
      <c r="AL16" s="721">
        <f>'CAC y GTM'!AL34</f>
        <v/>
      </c>
      <c r="AM16" s="721">
        <f>'CAC y GTM'!AM34</f>
        <v/>
      </c>
      <c r="AN16" s="721">
        <f>'CAC y GTM'!AN34</f>
        <v/>
      </c>
      <c r="AO16" s="721">
        <f>'CAC y GTM'!AO34</f>
        <v/>
      </c>
      <c r="AP16" s="721">
        <f>'CAC y GTM'!AP34</f>
        <v/>
      </c>
      <c r="AQ16" s="721">
        <f>'CAC y GTM'!AQ34</f>
        <v/>
      </c>
      <c r="AR16" s="721">
        <f>'CAC y GTM'!AR34</f>
        <v/>
      </c>
      <c r="AS16" s="721">
        <f>'CAC y GTM'!AS34</f>
        <v/>
      </c>
      <c r="AT16" s="721">
        <f>'CAC y GTM'!AT34</f>
        <v/>
      </c>
      <c r="AU16" s="721">
        <f>'CAC y GTM'!AU34</f>
        <v/>
      </c>
      <c r="AV16" s="721">
        <f>'CAC y GTM'!AV34</f>
        <v/>
      </c>
      <c r="AW16" s="721">
        <f>'CAC y GTM'!AW34</f>
        <v/>
      </c>
      <c r="AX16" s="721">
        <f>'CAC y GTM'!AX34</f>
        <v/>
      </c>
      <c r="AY16" s="721">
        <f>'CAC y GTM'!AY34</f>
        <v/>
      </c>
      <c r="AZ16" s="721">
        <f>'CAC y GTM'!AZ34</f>
        <v/>
      </c>
      <c r="BA16" s="721">
        <f>'CAC y GTM'!BA34</f>
        <v/>
      </c>
      <c r="BB16" s="721">
        <f>'CAC y GTM'!BB34</f>
        <v/>
      </c>
      <c r="BC16" s="721">
        <f>'CAC y GTM'!BC34</f>
        <v/>
      </c>
      <c r="BD16" s="721">
        <f>'CAC y GTM'!BD34</f>
        <v/>
      </c>
      <c r="BE16" s="721">
        <f>'CAC y GTM'!BE34</f>
        <v/>
      </c>
      <c r="BF16" s="721">
        <f>'CAC y GTM'!BF34</f>
        <v/>
      </c>
      <c r="BG16" s="721">
        <f>'CAC y GTM'!BG34</f>
        <v/>
      </c>
      <c r="BH16" s="721">
        <f>'CAC y GTM'!BH34</f>
        <v/>
      </c>
      <c r="BI16" s="721">
        <f>'CAC y GTM'!BI34</f>
        <v/>
      </c>
      <c r="BJ16" s="720">
        <f>SUM(B16:BI16)</f>
        <v/>
      </c>
    </row>
    <row r="17">
      <c r="A17" s="32" t="inlineStr">
        <is>
          <t xml:space="preserve">    incl. Comisiones de Venta</t>
        </is>
      </c>
      <c r="B17" s="771">
        <f>'CAC y GTM'!B23</f>
        <v/>
      </c>
      <c r="C17" s="771">
        <f>'CAC y GTM'!C23</f>
        <v/>
      </c>
      <c r="D17" s="771">
        <f>'CAC y GTM'!D23</f>
        <v/>
      </c>
      <c r="E17" s="771">
        <f>'CAC y GTM'!E23</f>
        <v/>
      </c>
      <c r="F17" s="771">
        <f>'CAC y GTM'!F23</f>
        <v/>
      </c>
      <c r="G17" s="771">
        <f>'CAC y GTM'!G23</f>
        <v/>
      </c>
      <c r="H17" s="771">
        <f>'CAC y GTM'!H23</f>
        <v/>
      </c>
      <c r="I17" s="771">
        <f>'CAC y GTM'!I23</f>
        <v/>
      </c>
      <c r="J17" s="771">
        <f>'CAC y GTM'!J23</f>
        <v/>
      </c>
      <c r="K17" s="771">
        <f>'CAC y GTM'!K23</f>
        <v/>
      </c>
      <c r="L17" s="771">
        <f>'CAC y GTM'!L23</f>
        <v/>
      </c>
      <c r="M17" s="771">
        <f>'CAC y GTM'!M23</f>
        <v/>
      </c>
      <c r="N17" s="771">
        <f>'CAC y GTM'!N23</f>
        <v/>
      </c>
      <c r="O17" s="771">
        <f>'CAC y GTM'!O23</f>
        <v/>
      </c>
      <c r="P17" s="771">
        <f>'CAC y GTM'!P23</f>
        <v/>
      </c>
      <c r="Q17" s="771">
        <f>'CAC y GTM'!Q23</f>
        <v/>
      </c>
      <c r="R17" s="771">
        <f>'CAC y GTM'!R23</f>
        <v/>
      </c>
      <c r="S17" s="771">
        <f>'CAC y GTM'!S23</f>
        <v/>
      </c>
      <c r="T17" s="771">
        <f>'CAC y GTM'!T23</f>
        <v/>
      </c>
      <c r="U17" s="771">
        <f>'CAC y GTM'!U23</f>
        <v/>
      </c>
      <c r="V17" s="771">
        <f>'CAC y GTM'!V23</f>
        <v/>
      </c>
      <c r="W17" s="771">
        <f>'CAC y GTM'!W23</f>
        <v/>
      </c>
      <c r="X17" s="771">
        <f>'CAC y GTM'!X23</f>
        <v/>
      </c>
      <c r="Y17" s="771">
        <f>'CAC y GTM'!Y23</f>
        <v/>
      </c>
      <c r="Z17" s="771">
        <f>'CAC y GTM'!Z23</f>
        <v/>
      </c>
      <c r="AA17" s="771">
        <f>'CAC y GTM'!AA23</f>
        <v/>
      </c>
      <c r="AB17" s="771">
        <f>'CAC y GTM'!AB23</f>
        <v/>
      </c>
      <c r="AC17" s="771">
        <f>'CAC y GTM'!AC23</f>
        <v/>
      </c>
      <c r="AD17" s="771">
        <f>'CAC y GTM'!AD23</f>
        <v/>
      </c>
      <c r="AE17" s="771">
        <f>'CAC y GTM'!AE23</f>
        <v/>
      </c>
      <c r="AF17" s="771">
        <f>'CAC y GTM'!AF23</f>
        <v/>
      </c>
      <c r="AG17" s="771">
        <f>'CAC y GTM'!AG23</f>
        <v/>
      </c>
      <c r="AH17" s="771">
        <f>'CAC y GTM'!AH23</f>
        <v/>
      </c>
      <c r="AI17" s="771">
        <f>'CAC y GTM'!AI23</f>
        <v/>
      </c>
      <c r="AJ17" s="771">
        <f>'CAC y GTM'!AJ23</f>
        <v/>
      </c>
      <c r="AK17" s="771">
        <f>'CAC y GTM'!AK23</f>
        <v/>
      </c>
      <c r="AL17" s="771">
        <f>'CAC y GTM'!AL23</f>
        <v/>
      </c>
      <c r="AM17" s="771">
        <f>'CAC y GTM'!AM23</f>
        <v/>
      </c>
      <c r="AN17" s="771">
        <f>'CAC y GTM'!AN23</f>
        <v/>
      </c>
      <c r="AO17" s="771">
        <f>'CAC y GTM'!AO23</f>
        <v/>
      </c>
      <c r="AP17" s="771">
        <f>'CAC y GTM'!AP23</f>
        <v/>
      </c>
      <c r="AQ17" s="771">
        <f>'CAC y GTM'!AQ23</f>
        <v/>
      </c>
      <c r="AR17" s="771">
        <f>'CAC y GTM'!AR23</f>
        <v/>
      </c>
      <c r="AS17" s="771">
        <f>'CAC y GTM'!AS23</f>
        <v/>
      </c>
      <c r="AT17" s="771">
        <f>'CAC y GTM'!AT23</f>
        <v/>
      </c>
      <c r="AU17" s="771">
        <f>'CAC y GTM'!AU23</f>
        <v/>
      </c>
      <c r="AV17" s="771">
        <f>'CAC y GTM'!AV23</f>
        <v/>
      </c>
      <c r="AW17" s="771">
        <f>'CAC y GTM'!AW23</f>
        <v/>
      </c>
      <c r="AX17" s="771">
        <f>'CAC y GTM'!AX23</f>
        <v/>
      </c>
      <c r="AY17" s="771">
        <f>'CAC y GTM'!AY23</f>
        <v/>
      </c>
      <c r="AZ17" s="771">
        <f>'CAC y GTM'!AZ23</f>
        <v/>
      </c>
      <c r="BA17" s="771">
        <f>'CAC y GTM'!BA23</f>
        <v/>
      </c>
      <c r="BB17" s="771">
        <f>'CAC y GTM'!BB23</f>
        <v/>
      </c>
      <c r="BC17" s="771">
        <f>'CAC y GTM'!BC23</f>
        <v/>
      </c>
      <c r="BD17" s="771">
        <f>'CAC y GTM'!BD23</f>
        <v/>
      </c>
      <c r="BE17" s="771">
        <f>'CAC y GTM'!BE23</f>
        <v/>
      </c>
      <c r="BF17" s="771">
        <f>'CAC y GTM'!BF23</f>
        <v/>
      </c>
      <c r="BG17" s="771">
        <f>'CAC y GTM'!BG23</f>
        <v/>
      </c>
      <c r="BH17" s="771">
        <f>'CAC y GTM'!BH23</f>
        <v/>
      </c>
      <c r="BI17" s="771">
        <f>'CAC y GTM'!BI23</f>
        <v/>
      </c>
      <c r="BJ17" s="772">
        <f>SUM(B17:BI17)</f>
        <v/>
      </c>
    </row>
    <row r="18">
      <c r="A18" s="32" t="inlineStr">
        <is>
          <t xml:space="preserve">    incl. Publicidad y Marketing</t>
        </is>
      </c>
      <c r="B18" s="771">
        <f>'CAC y GTM'!B27</f>
        <v/>
      </c>
      <c r="C18" s="771">
        <f>'CAC y GTM'!C27</f>
        <v/>
      </c>
      <c r="D18" s="771">
        <f>'CAC y GTM'!D27</f>
        <v/>
      </c>
      <c r="E18" s="771">
        <f>'CAC y GTM'!E27</f>
        <v/>
      </c>
      <c r="F18" s="771">
        <f>'CAC y GTM'!F27</f>
        <v/>
      </c>
      <c r="G18" s="771">
        <f>'CAC y GTM'!G27</f>
        <v/>
      </c>
      <c r="H18" s="771">
        <f>'CAC y GTM'!H27</f>
        <v/>
      </c>
      <c r="I18" s="771">
        <f>'CAC y GTM'!I27</f>
        <v/>
      </c>
      <c r="J18" s="771">
        <f>'CAC y GTM'!J27</f>
        <v/>
      </c>
      <c r="K18" s="771">
        <f>'CAC y GTM'!K27</f>
        <v/>
      </c>
      <c r="L18" s="771">
        <f>'CAC y GTM'!L27</f>
        <v/>
      </c>
      <c r="M18" s="771">
        <f>'CAC y GTM'!M27</f>
        <v/>
      </c>
      <c r="N18" s="771">
        <f>'CAC y GTM'!N27</f>
        <v/>
      </c>
      <c r="O18" s="771">
        <f>'CAC y GTM'!O27</f>
        <v/>
      </c>
      <c r="P18" s="771">
        <f>'CAC y GTM'!P27</f>
        <v/>
      </c>
      <c r="Q18" s="771">
        <f>'CAC y GTM'!Q27</f>
        <v/>
      </c>
      <c r="R18" s="771">
        <f>'CAC y GTM'!R27</f>
        <v/>
      </c>
      <c r="S18" s="771">
        <f>'CAC y GTM'!S27</f>
        <v/>
      </c>
      <c r="T18" s="771">
        <f>'CAC y GTM'!T27</f>
        <v/>
      </c>
      <c r="U18" s="771">
        <f>'CAC y GTM'!U27</f>
        <v/>
      </c>
      <c r="V18" s="771">
        <f>'CAC y GTM'!V27</f>
        <v/>
      </c>
      <c r="W18" s="771">
        <f>'CAC y GTM'!W27</f>
        <v/>
      </c>
      <c r="X18" s="771">
        <f>'CAC y GTM'!X27</f>
        <v/>
      </c>
      <c r="Y18" s="771">
        <f>'CAC y GTM'!Y27</f>
        <v/>
      </c>
      <c r="Z18" s="771">
        <f>'CAC y GTM'!Z27</f>
        <v/>
      </c>
      <c r="AA18" s="771">
        <f>'CAC y GTM'!AA27</f>
        <v/>
      </c>
      <c r="AB18" s="771">
        <f>'CAC y GTM'!AB27</f>
        <v/>
      </c>
      <c r="AC18" s="771">
        <f>'CAC y GTM'!AC27</f>
        <v/>
      </c>
      <c r="AD18" s="771">
        <f>'CAC y GTM'!AD27</f>
        <v/>
      </c>
      <c r="AE18" s="771">
        <f>'CAC y GTM'!AE27</f>
        <v/>
      </c>
      <c r="AF18" s="771">
        <f>'CAC y GTM'!AF27</f>
        <v/>
      </c>
      <c r="AG18" s="771">
        <f>'CAC y GTM'!AG27</f>
        <v/>
      </c>
      <c r="AH18" s="771">
        <f>'CAC y GTM'!AH27</f>
        <v/>
      </c>
      <c r="AI18" s="771">
        <f>'CAC y GTM'!AI27</f>
        <v/>
      </c>
      <c r="AJ18" s="771">
        <f>'CAC y GTM'!AJ27</f>
        <v/>
      </c>
      <c r="AK18" s="771">
        <f>'CAC y GTM'!AK27</f>
        <v/>
      </c>
      <c r="AL18" s="771">
        <f>'CAC y GTM'!AL27</f>
        <v/>
      </c>
      <c r="AM18" s="771">
        <f>'CAC y GTM'!AM27</f>
        <v/>
      </c>
      <c r="AN18" s="771">
        <f>'CAC y GTM'!AN27</f>
        <v/>
      </c>
      <c r="AO18" s="771">
        <f>'CAC y GTM'!AO27</f>
        <v/>
      </c>
      <c r="AP18" s="771">
        <f>'CAC y GTM'!AP27</f>
        <v/>
      </c>
      <c r="AQ18" s="771">
        <f>'CAC y GTM'!AQ27</f>
        <v/>
      </c>
      <c r="AR18" s="771">
        <f>'CAC y GTM'!AR27</f>
        <v/>
      </c>
      <c r="AS18" s="771">
        <f>'CAC y GTM'!AS27</f>
        <v/>
      </c>
      <c r="AT18" s="771">
        <f>'CAC y GTM'!AT27</f>
        <v/>
      </c>
      <c r="AU18" s="771">
        <f>'CAC y GTM'!AU27</f>
        <v/>
      </c>
      <c r="AV18" s="771">
        <f>'CAC y GTM'!AV27</f>
        <v/>
      </c>
      <c r="AW18" s="771">
        <f>'CAC y GTM'!AW27</f>
        <v/>
      </c>
      <c r="AX18" s="771">
        <f>'CAC y GTM'!AX27</f>
        <v/>
      </c>
      <c r="AY18" s="771">
        <f>'CAC y GTM'!AY27</f>
        <v/>
      </c>
      <c r="AZ18" s="771">
        <f>'CAC y GTM'!AZ27</f>
        <v/>
      </c>
      <c r="BA18" s="771">
        <f>'CAC y GTM'!BA27</f>
        <v/>
      </c>
      <c r="BB18" s="771">
        <f>'CAC y GTM'!BB27</f>
        <v/>
      </c>
      <c r="BC18" s="771">
        <f>'CAC y GTM'!BC27</f>
        <v/>
      </c>
      <c r="BD18" s="771">
        <f>'CAC y GTM'!BD27</f>
        <v/>
      </c>
      <c r="BE18" s="771">
        <f>'CAC y GTM'!BE27</f>
        <v/>
      </c>
      <c r="BF18" s="771">
        <f>'CAC y GTM'!BF27</f>
        <v/>
      </c>
      <c r="BG18" s="771">
        <f>'CAC y GTM'!BG27</f>
        <v/>
      </c>
      <c r="BH18" s="771">
        <f>'CAC y GTM'!BH27</f>
        <v/>
      </c>
      <c r="BI18" s="771">
        <f>'CAC y GTM'!BI27</f>
        <v/>
      </c>
      <c r="BJ18" s="772">
        <f>SUM(B18:BI18)</f>
        <v/>
      </c>
    </row>
    <row r="19">
      <c r="A19" s="86" t="inlineStr">
        <is>
          <t>Utilidad Bruta después de CAC</t>
        </is>
      </c>
      <c r="B19" s="770">
        <f>B13-B16</f>
        <v/>
      </c>
      <c r="C19" s="770">
        <f>C13-C16</f>
        <v/>
      </c>
      <c r="D19" s="770">
        <f>D13-D16</f>
        <v/>
      </c>
      <c r="E19" s="770">
        <f>E13-E16</f>
        <v/>
      </c>
      <c r="F19" s="770">
        <f>F13-F16</f>
        <v/>
      </c>
      <c r="G19" s="770">
        <f>G13-G16</f>
        <v/>
      </c>
      <c r="H19" s="770">
        <f>H13-H16</f>
        <v/>
      </c>
      <c r="I19" s="770">
        <f>I13-I16</f>
        <v/>
      </c>
      <c r="J19" s="770">
        <f>J13-J16</f>
        <v/>
      </c>
      <c r="K19" s="770">
        <f>K13-K16</f>
        <v/>
      </c>
      <c r="L19" s="770">
        <f>L13-L16</f>
        <v/>
      </c>
      <c r="M19" s="770">
        <f>M13-M16</f>
        <v/>
      </c>
      <c r="N19" s="770">
        <f>N13-N16</f>
        <v/>
      </c>
      <c r="O19" s="770">
        <f>O13-O16</f>
        <v/>
      </c>
      <c r="P19" s="770">
        <f>P13-P16</f>
        <v/>
      </c>
      <c r="Q19" s="770">
        <f>Q13-Q16</f>
        <v/>
      </c>
      <c r="R19" s="770">
        <f>R13-R16</f>
        <v/>
      </c>
      <c r="S19" s="770">
        <f>S13-S16</f>
        <v/>
      </c>
      <c r="T19" s="770">
        <f>T13-T16</f>
        <v/>
      </c>
      <c r="U19" s="770">
        <f>U13-U16</f>
        <v/>
      </c>
      <c r="V19" s="770">
        <f>V13-V16</f>
        <v/>
      </c>
      <c r="W19" s="770">
        <f>W13-W16</f>
        <v/>
      </c>
      <c r="X19" s="770">
        <f>X13-X16</f>
        <v/>
      </c>
      <c r="Y19" s="770">
        <f>Y13-Y16</f>
        <v/>
      </c>
      <c r="Z19" s="770">
        <f>Z13-Z16</f>
        <v/>
      </c>
      <c r="AA19" s="770">
        <f>AA13-AA16</f>
        <v/>
      </c>
      <c r="AB19" s="770">
        <f>AB13-AB16</f>
        <v/>
      </c>
      <c r="AC19" s="770">
        <f>AC13-AC16</f>
        <v/>
      </c>
      <c r="AD19" s="770">
        <f>AD13-AD16</f>
        <v/>
      </c>
      <c r="AE19" s="770">
        <f>AE13-AE16</f>
        <v/>
      </c>
      <c r="AF19" s="770">
        <f>AF13-AF16</f>
        <v/>
      </c>
      <c r="AG19" s="770">
        <f>AG13-AG16</f>
        <v/>
      </c>
      <c r="AH19" s="770">
        <f>AH13-AH16</f>
        <v/>
      </c>
      <c r="AI19" s="770">
        <f>AI13-AI16</f>
        <v/>
      </c>
      <c r="AJ19" s="770">
        <f>AJ13-AJ16</f>
        <v/>
      </c>
      <c r="AK19" s="770">
        <f>AK13-AK16</f>
        <v/>
      </c>
      <c r="AL19" s="770">
        <f>AL13-AL16</f>
        <v/>
      </c>
      <c r="AM19" s="770">
        <f>AM13-AM16</f>
        <v/>
      </c>
      <c r="AN19" s="770">
        <f>AN13-AN16</f>
        <v/>
      </c>
      <c r="AO19" s="770">
        <f>AO13-AO16</f>
        <v/>
      </c>
      <c r="AP19" s="770">
        <f>AP13-AP16</f>
        <v/>
      </c>
      <c r="AQ19" s="770">
        <f>AQ13-AQ16</f>
        <v/>
      </c>
      <c r="AR19" s="770">
        <f>AR13-AR16</f>
        <v/>
      </c>
      <c r="AS19" s="770">
        <f>AS13-AS16</f>
        <v/>
      </c>
      <c r="AT19" s="770">
        <f>AT13-AT16</f>
        <v/>
      </c>
      <c r="AU19" s="770">
        <f>AU13-AU16</f>
        <v/>
      </c>
      <c r="AV19" s="770">
        <f>AV13-AV16</f>
        <v/>
      </c>
      <c r="AW19" s="770">
        <f>AW13-AW16</f>
        <v/>
      </c>
      <c r="AX19" s="770">
        <f>AX13-AX16</f>
        <v/>
      </c>
      <c r="AY19" s="770">
        <f>AY13-AY16</f>
        <v/>
      </c>
      <c r="AZ19" s="770">
        <f>AZ13-AZ16</f>
        <v/>
      </c>
      <c r="BA19" s="770">
        <f>BA13-BA16</f>
        <v/>
      </c>
      <c r="BB19" s="770">
        <f>BB13-BB16</f>
        <v/>
      </c>
      <c r="BC19" s="770">
        <f>BC13-BC16</f>
        <v/>
      </c>
      <c r="BD19" s="770">
        <f>BD13-BD16</f>
        <v/>
      </c>
      <c r="BE19" s="770">
        <f>BE13-BE16</f>
        <v/>
      </c>
      <c r="BF19" s="770">
        <f>BF13-BF16</f>
        <v/>
      </c>
      <c r="BG19" s="770">
        <f>BG13-BG16</f>
        <v/>
      </c>
      <c r="BH19" s="770">
        <f>BH13-BH16</f>
        <v/>
      </c>
      <c r="BI19" s="770">
        <f>BI13-BI16</f>
        <v/>
      </c>
      <c r="BJ19" s="770">
        <f>SUM(B19:BI19)</f>
        <v/>
      </c>
    </row>
    <row r="21">
      <c r="A21" t="inlineStr">
        <is>
          <t xml:space="preserve">  OPEX Fijo</t>
        </is>
      </c>
      <c r="B21" s="721">
        <f>OPEX!B23</f>
        <v/>
      </c>
      <c r="C21" s="721">
        <f>OPEX!C23</f>
        <v/>
      </c>
      <c r="D21" s="721">
        <f>OPEX!D23</f>
        <v/>
      </c>
      <c r="E21" s="721">
        <f>OPEX!E23</f>
        <v/>
      </c>
      <c r="F21" s="721">
        <f>OPEX!F23</f>
        <v/>
      </c>
      <c r="G21" s="721">
        <f>OPEX!G23</f>
        <v/>
      </c>
      <c r="H21" s="721">
        <f>OPEX!H23</f>
        <v/>
      </c>
      <c r="I21" s="721">
        <f>OPEX!I23</f>
        <v/>
      </c>
      <c r="J21" s="721">
        <f>OPEX!J23</f>
        <v/>
      </c>
      <c r="K21" s="721">
        <f>OPEX!K23</f>
        <v/>
      </c>
      <c r="L21" s="721">
        <f>OPEX!L23</f>
        <v/>
      </c>
      <c r="M21" s="721">
        <f>OPEX!M23</f>
        <v/>
      </c>
      <c r="N21" s="721">
        <f>OPEX!N23</f>
        <v/>
      </c>
      <c r="O21" s="721">
        <f>OPEX!O23</f>
        <v/>
      </c>
      <c r="P21" s="721">
        <f>OPEX!P23</f>
        <v/>
      </c>
      <c r="Q21" s="721">
        <f>OPEX!Q23</f>
        <v/>
      </c>
      <c r="R21" s="721">
        <f>OPEX!R23</f>
        <v/>
      </c>
      <c r="S21" s="721">
        <f>OPEX!S23</f>
        <v/>
      </c>
      <c r="T21" s="721">
        <f>OPEX!T23</f>
        <v/>
      </c>
      <c r="U21" s="721">
        <f>OPEX!U23</f>
        <v/>
      </c>
      <c r="V21" s="721">
        <f>OPEX!V23</f>
        <v/>
      </c>
      <c r="W21" s="721">
        <f>OPEX!W23</f>
        <v/>
      </c>
      <c r="X21" s="721">
        <f>OPEX!X23</f>
        <v/>
      </c>
      <c r="Y21" s="721">
        <f>OPEX!Y23</f>
        <v/>
      </c>
      <c r="Z21" s="721">
        <f>OPEX!Z23</f>
        <v/>
      </c>
      <c r="AA21" s="721">
        <f>OPEX!AA23</f>
        <v/>
      </c>
      <c r="AB21" s="721">
        <f>OPEX!AB23</f>
        <v/>
      </c>
      <c r="AC21" s="721">
        <f>OPEX!AC23</f>
        <v/>
      </c>
      <c r="AD21" s="721">
        <f>OPEX!AD23</f>
        <v/>
      </c>
      <c r="AE21" s="721">
        <f>OPEX!AE23</f>
        <v/>
      </c>
      <c r="AF21" s="721">
        <f>OPEX!AF23</f>
        <v/>
      </c>
      <c r="AG21" s="721">
        <f>OPEX!AG23</f>
        <v/>
      </c>
      <c r="AH21" s="721">
        <f>OPEX!AH23</f>
        <v/>
      </c>
      <c r="AI21" s="721">
        <f>OPEX!AI23</f>
        <v/>
      </c>
      <c r="AJ21" s="721">
        <f>OPEX!AJ23</f>
        <v/>
      </c>
      <c r="AK21" s="721">
        <f>OPEX!AK23</f>
        <v/>
      </c>
      <c r="AL21" s="721">
        <f>OPEX!AL23</f>
        <v/>
      </c>
      <c r="AM21" s="721">
        <f>OPEX!AM23</f>
        <v/>
      </c>
      <c r="AN21" s="721">
        <f>OPEX!AN23</f>
        <v/>
      </c>
      <c r="AO21" s="721">
        <f>OPEX!AO23</f>
        <v/>
      </c>
      <c r="AP21" s="721">
        <f>OPEX!AP23</f>
        <v/>
      </c>
      <c r="AQ21" s="721">
        <f>OPEX!AQ23</f>
        <v/>
      </c>
      <c r="AR21" s="721">
        <f>OPEX!AR23</f>
        <v/>
      </c>
      <c r="AS21" s="721">
        <f>OPEX!AS23</f>
        <v/>
      </c>
      <c r="AT21" s="721">
        <f>OPEX!AT23</f>
        <v/>
      </c>
      <c r="AU21" s="721">
        <f>OPEX!AU23</f>
        <v/>
      </c>
      <c r="AV21" s="721">
        <f>OPEX!AV23</f>
        <v/>
      </c>
      <c r="AW21" s="721">
        <f>OPEX!AW23</f>
        <v/>
      </c>
      <c r="AX21" s="721">
        <f>OPEX!AX23</f>
        <v/>
      </c>
      <c r="AY21" s="721">
        <f>OPEX!AY23</f>
        <v/>
      </c>
      <c r="AZ21" s="721">
        <f>OPEX!AZ23</f>
        <v/>
      </c>
      <c r="BA21" s="721">
        <f>OPEX!BA23</f>
        <v/>
      </c>
      <c r="BB21" s="721">
        <f>OPEX!BB23</f>
        <v/>
      </c>
      <c r="BC21" s="721">
        <f>OPEX!BC23</f>
        <v/>
      </c>
      <c r="BD21" s="721">
        <f>OPEX!BD23</f>
        <v/>
      </c>
      <c r="BE21" s="721">
        <f>OPEX!BE23</f>
        <v/>
      </c>
      <c r="BF21" s="721">
        <f>OPEX!BF23</f>
        <v/>
      </c>
      <c r="BG21" s="721">
        <f>OPEX!BG23</f>
        <v/>
      </c>
      <c r="BH21" s="721">
        <f>OPEX!BH23</f>
        <v/>
      </c>
      <c r="BI21" s="721">
        <f>OPEX!BI23</f>
        <v/>
      </c>
      <c r="BJ21" s="720">
        <f>SUM(B21:BI21)</f>
        <v/>
      </c>
    </row>
    <row r="22">
      <c r="A22" s="89" t="inlineStr">
        <is>
          <t>EBITDA</t>
        </is>
      </c>
      <c r="B22" s="775">
        <f>B19-B21</f>
        <v/>
      </c>
      <c r="C22" s="775">
        <f>C19-C21</f>
        <v/>
      </c>
      <c r="D22" s="775">
        <f>D19-D21</f>
        <v/>
      </c>
      <c r="E22" s="775">
        <f>E19-E21</f>
        <v/>
      </c>
      <c r="F22" s="775">
        <f>F19-F21</f>
        <v/>
      </c>
      <c r="G22" s="775">
        <f>G19-G21</f>
        <v/>
      </c>
      <c r="H22" s="775">
        <f>H19-H21</f>
        <v/>
      </c>
      <c r="I22" s="775">
        <f>I19-I21</f>
        <v/>
      </c>
      <c r="J22" s="775">
        <f>J19-J21</f>
        <v/>
      </c>
      <c r="K22" s="775">
        <f>K19-K21</f>
        <v/>
      </c>
      <c r="L22" s="775">
        <f>L19-L21</f>
        <v/>
      </c>
      <c r="M22" s="775">
        <f>M19-M21</f>
        <v/>
      </c>
      <c r="N22" s="775">
        <f>N19-N21</f>
        <v/>
      </c>
      <c r="O22" s="775">
        <f>O19-O21</f>
        <v/>
      </c>
      <c r="P22" s="775">
        <f>P19-P21</f>
        <v/>
      </c>
      <c r="Q22" s="775">
        <f>Q19-Q21</f>
        <v/>
      </c>
      <c r="R22" s="775">
        <f>R19-R21</f>
        <v/>
      </c>
      <c r="S22" s="775">
        <f>S19-S21</f>
        <v/>
      </c>
      <c r="T22" s="775">
        <f>T19-T21</f>
        <v/>
      </c>
      <c r="U22" s="775">
        <f>U19-U21</f>
        <v/>
      </c>
      <c r="V22" s="775">
        <f>V19-V21</f>
        <v/>
      </c>
      <c r="W22" s="775">
        <f>W19-W21</f>
        <v/>
      </c>
      <c r="X22" s="775">
        <f>X19-X21</f>
        <v/>
      </c>
      <c r="Y22" s="775">
        <f>Y19-Y21</f>
        <v/>
      </c>
      <c r="Z22" s="775">
        <f>Z19-Z21</f>
        <v/>
      </c>
      <c r="AA22" s="775">
        <f>AA19-AA21</f>
        <v/>
      </c>
      <c r="AB22" s="775">
        <f>AB19-AB21</f>
        <v/>
      </c>
      <c r="AC22" s="775">
        <f>AC19-AC21</f>
        <v/>
      </c>
      <c r="AD22" s="775">
        <f>AD19-AD21</f>
        <v/>
      </c>
      <c r="AE22" s="775">
        <f>AE19-AE21</f>
        <v/>
      </c>
      <c r="AF22" s="775">
        <f>AF19-AF21</f>
        <v/>
      </c>
      <c r="AG22" s="775">
        <f>AG19-AG21</f>
        <v/>
      </c>
      <c r="AH22" s="775">
        <f>AH19-AH21</f>
        <v/>
      </c>
      <c r="AI22" s="775">
        <f>AI19-AI21</f>
        <v/>
      </c>
      <c r="AJ22" s="775">
        <f>AJ19-AJ21</f>
        <v/>
      </c>
      <c r="AK22" s="775">
        <f>AK19-AK21</f>
        <v/>
      </c>
      <c r="AL22" s="775">
        <f>AL19-AL21</f>
        <v/>
      </c>
      <c r="AM22" s="775">
        <f>AM19-AM21</f>
        <v/>
      </c>
      <c r="AN22" s="775">
        <f>AN19-AN21</f>
        <v/>
      </c>
      <c r="AO22" s="775">
        <f>AO19-AO21</f>
        <v/>
      </c>
      <c r="AP22" s="775">
        <f>AP19-AP21</f>
        <v/>
      </c>
      <c r="AQ22" s="775">
        <f>AQ19-AQ21</f>
        <v/>
      </c>
      <c r="AR22" s="775">
        <f>AR19-AR21</f>
        <v/>
      </c>
      <c r="AS22" s="775">
        <f>AS19-AS21</f>
        <v/>
      </c>
      <c r="AT22" s="775">
        <f>AT19-AT21</f>
        <v/>
      </c>
      <c r="AU22" s="775">
        <f>AU19-AU21</f>
        <v/>
      </c>
      <c r="AV22" s="775">
        <f>AV19-AV21</f>
        <v/>
      </c>
      <c r="AW22" s="775">
        <f>AW19-AW21</f>
        <v/>
      </c>
      <c r="AX22" s="775">
        <f>AX19-AX21</f>
        <v/>
      </c>
      <c r="AY22" s="775">
        <f>AY19-AY21</f>
        <v/>
      </c>
      <c r="AZ22" s="775">
        <f>AZ19-AZ21</f>
        <v/>
      </c>
      <c r="BA22" s="775">
        <f>BA19-BA21</f>
        <v/>
      </c>
      <c r="BB22" s="775">
        <f>BB19-BB21</f>
        <v/>
      </c>
      <c r="BC22" s="775">
        <f>BC19-BC21</f>
        <v/>
      </c>
      <c r="BD22" s="775">
        <f>BD19-BD21</f>
        <v/>
      </c>
      <c r="BE22" s="775">
        <f>BE19-BE21</f>
        <v/>
      </c>
      <c r="BF22" s="775">
        <f>BF19-BF21</f>
        <v/>
      </c>
      <c r="BG22" s="775">
        <f>BG19-BG21</f>
        <v/>
      </c>
      <c r="BH22" s="775">
        <f>BH19-BH21</f>
        <v/>
      </c>
      <c r="BI22" s="775">
        <f>BI19-BI21</f>
        <v/>
      </c>
      <c r="BJ22" s="775">
        <f>SUM(B22:BI22)</f>
        <v/>
      </c>
    </row>
    <row r="23">
      <c r="A23" s="88" t="inlineStr">
        <is>
          <t>Margen EBITDA (%)</t>
        </is>
      </c>
      <c r="B23" s="773">
        <f>IF(B8=0,0,B22/B8)</f>
        <v/>
      </c>
      <c r="C23" s="773">
        <f>IF(C8=0,0,C22/C8)</f>
        <v/>
      </c>
      <c r="D23" s="773">
        <f>IF(D8=0,0,D22/D8)</f>
        <v/>
      </c>
      <c r="E23" s="773">
        <f>IF(E8=0,0,E22/E8)</f>
        <v/>
      </c>
      <c r="F23" s="773">
        <f>IF(F8=0,0,F22/F8)</f>
        <v/>
      </c>
      <c r="G23" s="773">
        <f>IF(G8=0,0,G22/G8)</f>
        <v/>
      </c>
      <c r="H23" s="773">
        <f>IF(H8=0,0,H22/H8)</f>
        <v/>
      </c>
      <c r="I23" s="773">
        <f>IF(I8=0,0,I22/I8)</f>
        <v/>
      </c>
      <c r="J23" s="773">
        <f>IF(J8=0,0,J22/J8)</f>
        <v/>
      </c>
      <c r="K23" s="773">
        <f>IF(K8=0,0,K22/K8)</f>
        <v/>
      </c>
      <c r="L23" s="773">
        <f>IF(L8=0,0,L22/L8)</f>
        <v/>
      </c>
      <c r="M23" s="773">
        <f>IF(M8=0,0,M22/M8)</f>
        <v/>
      </c>
      <c r="N23" s="773">
        <f>IF(N8=0,0,N22/N8)</f>
        <v/>
      </c>
      <c r="O23" s="773">
        <f>IF(O8=0,0,O22/O8)</f>
        <v/>
      </c>
      <c r="P23" s="773">
        <f>IF(P8=0,0,P22/P8)</f>
        <v/>
      </c>
      <c r="Q23" s="773">
        <f>IF(Q8=0,0,Q22/Q8)</f>
        <v/>
      </c>
      <c r="R23" s="773">
        <f>IF(R8=0,0,R22/R8)</f>
        <v/>
      </c>
      <c r="S23" s="773">
        <f>IF(S8=0,0,S22/S8)</f>
        <v/>
      </c>
      <c r="T23" s="773">
        <f>IF(T8=0,0,T22/T8)</f>
        <v/>
      </c>
      <c r="U23" s="773">
        <f>IF(U8=0,0,U22/U8)</f>
        <v/>
      </c>
      <c r="V23" s="773">
        <f>IF(V8=0,0,V22/V8)</f>
        <v/>
      </c>
      <c r="W23" s="773">
        <f>IF(W8=0,0,W22/W8)</f>
        <v/>
      </c>
      <c r="X23" s="773">
        <f>IF(X8=0,0,X22/X8)</f>
        <v/>
      </c>
      <c r="Y23" s="773">
        <f>IF(Y8=0,0,Y22/Y8)</f>
        <v/>
      </c>
      <c r="Z23" s="773">
        <f>IF(Z8=0,0,Z22/Z8)</f>
        <v/>
      </c>
      <c r="AA23" s="773">
        <f>IF(AA8=0,0,AA22/AA8)</f>
        <v/>
      </c>
      <c r="AB23" s="773">
        <f>IF(AB8=0,0,AB22/AB8)</f>
        <v/>
      </c>
      <c r="AC23" s="773">
        <f>IF(AC8=0,0,AC22/AC8)</f>
        <v/>
      </c>
      <c r="AD23" s="773">
        <f>IF(AD8=0,0,AD22/AD8)</f>
        <v/>
      </c>
      <c r="AE23" s="773">
        <f>IF(AE8=0,0,AE22/AE8)</f>
        <v/>
      </c>
      <c r="AF23" s="773">
        <f>IF(AF8=0,0,AF22/AF8)</f>
        <v/>
      </c>
      <c r="AG23" s="773">
        <f>IF(AG8=0,0,AG22/AG8)</f>
        <v/>
      </c>
      <c r="AH23" s="773">
        <f>IF(AH8=0,0,AH22/AH8)</f>
        <v/>
      </c>
      <c r="AI23" s="773">
        <f>IF(AI8=0,0,AI22/AI8)</f>
        <v/>
      </c>
      <c r="AJ23" s="773">
        <f>IF(AJ8=0,0,AJ22/AJ8)</f>
        <v/>
      </c>
      <c r="AK23" s="773">
        <f>IF(AK8=0,0,AK22/AK8)</f>
        <v/>
      </c>
      <c r="AL23" s="773">
        <f>IF(AL8=0,0,AL22/AL8)</f>
        <v/>
      </c>
      <c r="AM23" s="773">
        <f>IF(AM8=0,0,AM22/AM8)</f>
        <v/>
      </c>
      <c r="AN23" s="773">
        <f>IF(AN8=0,0,AN22/AN8)</f>
        <v/>
      </c>
      <c r="AO23" s="773">
        <f>IF(AO8=0,0,AO22/AO8)</f>
        <v/>
      </c>
      <c r="AP23" s="773">
        <f>IF(AP8=0,0,AP22/AP8)</f>
        <v/>
      </c>
      <c r="AQ23" s="773">
        <f>IF(AQ8=0,0,AQ22/AQ8)</f>
        <v/>
      </c>
      <c r="AR23" s="773">
        <f>IF(AR8=0,0,AR22/AR8)</f>
        <v/>
      </c>
      <c r="AS23" s="773">
        <f>IF(AS8=0,0,AS22/AS8)</f>
        <v/>
      </c>
      <c r="AT23" s="773">
        <f>IF(AT8=0,0,AT22/AT8)</f>
        <v/>
      </c>
      <c r="AU23" s="773">
        <f>IF(AU8=0,0,AU22/AU8)</f>
        <v/>
      </c>
      <c r="AV23" s="773">
        <f>IF(AV8=0,0,AV22/AV8)</f>
        <v/>
      </c>
      <c r="AW23" s="773">
        <f>IF(AW8=0,0,AW22/AW8)</f>
        <v/>
      </c>
      <c r="AX23" s="773">
        <f>IF(AX8=0,0,AX22/AX8)</f>
        <v/>
      </c>
      <c r="AY23" s="773">
        <f>IF(AY8=0,0,AY22/AY8)</f>
        <v/>
      </c>
      <c r="AZ23" s="773">
        <f>IF(AZ8=0,0,AZ22/AZ8)</f>
        <v/>
      </c>
      <c r="BA23" s="773">
        <f>IF(BA8=0,0,BA22/BA8)</f>
        <v/>
      </c>
      <c r="BB23" s="773">
        <f>IF(BB8=0,0,BB22/BB8)</f>
        <v/>
      </c>
      <c r="BC23" s="773">
        <f>IF(BC8=0,0,BC22/BC8)</f>
        <v/>
      </c>
      <c r="BD23" s="773">
        <f>IF(BD8=0,0,BD22/BD8)</f>
        <v/>
      </c>
      <c r="BE23" s="773">
        <f>IF(BE8=0,0,BE22/BE8)</f>
        <v/>
      </c>
      <c r="BF23" s="773">
        <f>IF(BF8=0,0,BF22/BF8)</f>
        <v/>
      </c>
      <c r="BG23" s="773">
        <f>IF(BG8=0,0,BG22/BG8)</f>
        <v/>
      </c>
      <c r="BH23" s="773">
        <f>IF(BH8=0,0,BH22/BH8)</f>
        <v/>
      </c>
      <c r="BI23" s="773">
        <f>IF(BI8=0,0,BI22/BI8)</f>
        <v/>
      </c>
      <c r="BJ23" s="774">
        <f>IF(BJ8=0,0,BJ22/BJ8)</f>
        <v/>
      </c>
    </row>
    <row r="24">
      <c r="A24" s="195" t="inlineStr">
        <is>
          <t xml:space="preserve">  Impuestos sobre utilidades</t>
        </is>
      </c>
      <c r="B24" s="776">
        <f>MAX(0,B22*'Supuestos Generales'!$B$38)</f>
        <v/>
      </c>
      <c r="C24" s="776">
        <f>MAX(0,C22*'Supuestos Generales'!$B$38)</f>
        <v/>
      </c>
      <c r="D24" s="776">
        <f>MAX(0,D22*'Supuestos Generales'!$B$38)</f>
        <v/>
      </c>
      <c r="E24" s="776">
        <f>MAX(0,E22*'Supuestos Generales'!$B$38)</f>
        <v/>
      </c>
      <c r="F24" s="776">
        <f>MAX(0,F22*'Supuestos Generales'!$B$38)</f>
        <v/>
      </c>
      <c r="G24" s="776">
        <f>MAX(0,G22*'Supuestos Generales'!$B$38)</f>
        <v/>
      </c>
      <c r="H24" s="776">
        <f>MAX(0,H22*'Supuestos Generales'!$B$38)</f>
        <v/>
      </c>
      <c r="I24" s="776">
        <f>MAX(0,I22*'Supuestos Generales'!$B$38)</f>
        <v/>
      </c>
      <c r="J24" s="776">
        <f>MAX(0,J22*'Supuestos Generales'!$B$38)</f>
        <v/>
      </c>
      <c r="K24" s="776">
        <f>MAX(0,K22*'Supuestos Generales'!$B$38)</f>
        <v/>
      </c>
      <c r="L24" s="776">
        <f>MAX(0,L22*'Supuestos Generales'!$B$38)</f>
        <v/>
      </c>
      <c r="M24" s="776">
        <f>MAX(0,M22*'Supuestos Generales'!$B$38)</f>
        <v/>
      </c>
      <c r="N24" s="776">
        <f>MAX(0,N22*'Supuestos Generales'!$B$38)</f>
        <v/>
      </c>
      <c r="O24" s="776">
        <f>MAX(0,O22*'Supuestos Generales'!$B$38)</f>
        <v/>
      </c>
      <c r="P24" s="776">
        <f>MAX(0,P22*'Supuestos Generales'!$B$38)</f>
        <v/>
      </c>
      <c r="Q24" s="776">
        <f>MAX(0,Q22*'Supuestos Generales'!$B$38)</f>
        <v/>
      </c>
      <c r="R24" s="776">
        <f>MAX(0,R22*'Supuestos Generales'!$B$38)</f>
        <v/>
      </c>
      <c r="S24" s="776">
        <f>MAX(0,S22*'Supuestos Generales'!$B$38)</f>
        <v/>
      </c>
      <c r="T24" s="776">
        <f>MAX(0,T22*'Supuestos Generales'!$B$38)</f>
        <v/>
      </c>
      <c r="U24" s="776">
        <f>MAX(0,U22*'Supuestos Generales'!$B$38)</f>
        <v/>
      </c>
      <c r="V24" s="776">
        <f>MAX(0,V22*'Supuestos Generales'!$B$38)</f>
        <v/>
      </c>
      <c r="W24" s="776">
        <f>MAX(0,W22*'Supuestos Generales'!$B$38)</f>
        <v/>
      </c>
      <c r="X24" s="776">
        <f>MAX(0,X22*'Supuestos Generales'!$B$38)</f>
        <v/>
      </c>
      <c r="Y24" s="776">
        <f>MAX(0,Y22*'Supuestos Generales'!$B$38)</f>
        <v/>
      </c>
      <c r="Z24" s="776">
        <f>MAX(0,Z22*'Supuestos Generales'!$B$38)</f>
        <v/>
      </c>
      <c r="AA24" s="776">
        <f>MAX(0,AA22*'Supuestos Generales'!$B$38)</f>
        <v/>
      </c>
      <c r="AB24" s="776">
        <f>MAX(0,AB22*'Supuestos Generales'!$B$38)</f>
        <v/>
      </c>
      <c r="AC24" s="776">
        <f>MAX(0,AC22*'Supuestos Generales'!$B$38)</f>
        <v/>
      </c>
      <c r="AD24" s="776">
        <f>MAX(0,AD22*'Supuestos Generales'!$B$38)</f>
        <v/>
      </c>
      <c r="AE24" s="776">
        <f>MAX(0,AE22*'Supuestos Generales'!$B$38)</f>
        <v/>
      </c>
      <c r="AF24" s="776">
        <f>MAX(0,AF22*'Supuestos Generales'!$B$38)</f>
        <v/>
      </c>
      <c r="AG24" s="776">
        <f>MAX(0,AG22*'Supuestos Generales'!$B$38)</f>
        <v/>
      </c>
      <c r="AH24" s="776">
        <f>MAX(0,AH22*'Supuestos Generales'!$B$38)</f>
        <v/>
      </c>
      <c r="AI24" s="776">
        <f>MAX(0,AI22*'Supuestos Generales'!$B$38)</f>
        <v/>
      </c>
      <c r="AJ24" s="776">
        <f>MAX(0,AJ22*'Supuestos Generales'!$B$38)</f>
        <v/>
      </c>
      <c r="AK24" s="776">
        <f>MAX(0,AK22*'Supuestos Generales'!$B$38)</f>
        <v/>
      </c>
      <c r="AL24" s="776">
        <f>MAX(0,AL22*'Supuestos Generales'!$B$38)</f>
        <v/>
      </c>
      <c r="AM24" s="776">
        <f>MAX(0,AM22*'Supuestos Generales'!$B$38)</f>
        <v/>
      </c>
      <c r="AN24" s="776">
        <f>MAX(0,AN22*'Supuestos Generales'!$B$38)</f>
        <v/>
      </c>
      <c r="AO24" s="776">
        <f>MAX(0,AO22*'Supuestos Generales'!$B$38)</f>
        <v/>
      </c>
      <c r="AP24" s="776">
        <f>MAX(0,AP22*'Supuestos Generales'!$B$38)</f>
        <v/>
      </c>
      <c r="AQ24" s="776">
        <f>MAX(0,AQ22*'Supuestos Generales'!$B$38)</f>
        <v/>
      </c>
      <c r="AR24" s="776">
        <f>MAX(0,AR22*'Supuestos Generales'!$B$38)</f>
        <v/>
      </c>
      <c r="AS24" s="776">
        <f>MAX(0,AS22*'Supuestos Generales'!$B$38)</f>
        <v/>
      </c>
      <c r="AT24" s="776">
        <f>MAX(0,AT22*'Supuestos Generales'!$B$38)</f>
        <v/>
      </c>
      <c r="AU24" s="776">
        <f>MAX(0,AU22*'Supuestos Generales'!$B$38)</f>
        <v/>
      </c>
      <c r="AV24" s="776">
        <f>MAX(0,AV22*'Supuestos Generales'!$B$38)</f>
        <v/>
      </c>
      <c r="AW24" s="776">
        <f>MAX(0,AW22*'Supuestos Generales'!$B$38)</f>
        <v/>
      </c>
      <c r="AX24" s="776">
        <f>MAX(0,AX22*'Supuestos Generales'!$B$38)</f>
        <v/>
      </c>
      <c r="AY24" s="776">
        <f>MAX(0,AY22*'Supuestos Generales'!$B$38)</f>
        <v/>
      </c>
      <c r="AZ24" s="776">
        <f>MAX(0,AZ22*'Supuestos Generales'!$B$38)</f>
        <v/>
      </c>
      <c r="BA24" s="776">
        <f>MAX(0,BA22*'Supuestos Generales'!$B$38)</f>
        <v/>
      </c>
      <c r="BB24" s="776">
        <f>MAX(0,BB22*'Supuestos Generales'!$B$38)</f>
        <v/>
      </c>
      <c r="BC24" s="776">
        <f>MAX(0,BC22*'Supuestos Generales'!$B$38)</f>
        <v/>
      </c>
      <c r="BD24" s="776">
        <f>MAX(0,BD22*'Supuestos Generales'!$B$38)</f>
        <v/>
      </c>
      <c r="BE24" s="776">
        <f>MAX(0,BE22*'Supuestos Generales'!$B$38)</f>
        <v/>
      </c>
      <c r="BF24" s="776">
        <f>MAX(0,BF22*'Supuestos Generales'!$B$38)</f>
        <v/>
      </c>
      <c r="BG24" s="776">
        <f>MAX(0,BG22*'Supuestos Generales'!$B$38)</f>
        <v/>
      </c>
      <c r="BH24" s="776">
        <f>MAX(0,BH22*'Supuestos Generales'!$B$38)</f>
        <v/>
      </c>
      <c r="BI24" s="776">
        <f>MAX(0,BI22*'Supuestos Generales'!$B$38)</f>
        <v/>
      </c>
      <c r="BJ24" s="777">
        <f>SUM(B24:BI24)</f>
        <v/>
      </c>
    </row>
    <row r="25">
      <c r="A25" s="725" t="inlineStr">
        <is>
          <t>Utilidad Neta</t>
        </is>
      </c>
      <c r="B25" s="778">
        <f>B22-B24</f>
        <v/>
      </c>
      <c r="C25" s="778">
        <f>C22-C24</f>
        <v/>
      </c>
      <c r="D25" s="778">
        <f>D22-D24</f>
        <v/>
      </c>
      <c r="E25" s="778">
        <f>E22-E24</f>
        <v/>
      </c>
      <c r="F25" s="778">
        <f>F22-F24</f>
        <v/>
      </c>
      <c r="G25" s="778">
        <f>G22-G24</f>
        <v/>
      </c>
      <c r="H25" s="778">
        <f>H22-H24</f>
        <v/>
      </c>
      <c r="I25" s="778">
        <f>I22-I24</f>
        <v/>
      </c>
      <c r="J25" s="778">
        <f>J22-J24</f>
        <v/>
      </c>
      <c r="K25" s="778">
        <f>K22-K24</f>
        <v/>
      </c>
      <c r="L25" s="778">
        <f>L22-L24</f>
        <v/>
      </c>
      <c r="M25" s="778">
        <f>M22-M24</f>
        <v/>
      </c>
      <c r="N25" s="778">
        <f>N22-N24</f>
        <v/>
      </c>
      <c r="O25" s="778">
        <f>O22-O24</f>
        <v/>
      </c>
      <c r="P25" s="778">
        <f>P22-P24</f>
        <v/>
      </c>
      <c r="Q25" s="778">
        <f>Q22-Q24</f>
        <v/>
      </c>
      <c r="R25" s="778">
        <f>R22-R24</f>
        <v/>
      </c>
      <c r="S25" s="778">
        <f>S22-S24</f>
        <v/>
      </c>
      <c r="T25" s="778">
        <f>T22-T24</f>
        <v/>
      </c>
      <c r="U25" s="778">
        <f>U22-U24</f>
        <v/>
      </c>
      <c r="V25" s="778">
        <f>V22-V24</f>
        <v/>
      </c>
      <c r="W25" s="778">
        <f>W22-W24</f>
        <v/>
      </c>
      <c r="X25" s="778">
        <f>X22-X24</f>
        <v/>
      </c>
      <c r="Y25" s="778">
        <f>Y22-Y24</f>
        <v/>
      </c>
      <c r="Z25" s="778">
        <f>Z22-Z24</f>
        <v/>
      </c>
      <c r="AA25" s="778">
        <f>AA22-AA24</f>
        <v/>
      </c>
      <c r="AB25" s="778">
        <f>AB22-AB24</f>
        <v/>
      </c>
      <c r="AC25" s="778">
        <f>AC22-AC24</f>
        <v/>
      </c>
      <c r="AD25" s="778">
        <f>AD22-AD24</f>
        <v/>
      </c>
      <c r="AE25" s="778">
        <f>AE22-AE24</f>
        <v/>
      </c>
      <c r="AF25" s="778">
        <f>AF22-AF24</f>
        <v/>
      </c>
      <c r="AG25" s="778">
        <f>AG22-AG24</f>
        <v/>
      </c>
      <c r="AH25" s="778">
        <f>AH22-AH24</f>
        <v/>
      </c>
      <c r="AI25" s="778">
        <f>AI22-AI24</f>
        <v/>
      </c>
      <c r="AJ25" s="778">
        <f>AJ22-AJ24</f>
        <v/>
      </c>
      <c r="AK25" s="778">
        <f>AK22-AK24</f>
        <v/>
      </c>
      <c r="AL25" s="778">
        <f>AL22-AL24</f>
        <v/>
      </c>
      <c r="AM25" s="778">
        <f>AM22-AM24</f>
        <v/>
      </c>
      <c r="AN25" s="778">
        <f>AN22-AN24</f>
        <v/>
      </c>
      <c r="AO25" s="778">
        <f>AO22-AO24</f>
        <v/>
      </c>
      <c r="AP25" s="778">
        <f>AP22-AP24</f>
        <v/>
      </c>
      <c r="AQ25" s="778">
        <f>AQ22-AQ24</f>
        <v/>
      </c>
      <c r="AR25" s="778">
        <f>AR22-AR24</f>
        <v/>
      </c>
      <c r="AS25" s="778">
        <f>AS22-AS24</f>
        <v/>
      </c>
      <c r="AT25" s="778">
        <f>AT22-AT24</f>
        <v/>
      </c>
      <c r="AU25" s="778">
        <f>AU22-AU24</f>
        <v/>
      </c>
      <c r="AV25" s="778">
        <f>AV22-AV24</f>
        <v/>
      </c>
      <c r="AW25" s="778">
        <f>AW22-AW24</f>
        <v/>
      </c>
      <c r="AX25" s="778">
        <f>AX22-AX24</f>
        <v/>
      </c>
      <c r="AY25" s="778">
        <f>AY22-AY24</f>
        <v/>
      </c>
      <c r="AZ25" s="778">
        <f>AZ22-AZ24</f>
        <v/>
      </c>
      <c r="BA25" s="778">
        <f>BA22-BA24</f>
        <v/>
      </c>
      <c r="BB25" s="778">
        <f>BB22-BB24</f>
        <v/>
      </c>
      <c r="BC25" s="778">
        <f>BC22-BC24</f>
        <v/>
      </c>
      <c r="BD25" s="778">
        <f>BD22-BD24</f>
        <v/>
      </c>
      <c r="BE25" s="778">
        <f>BE22-BE24</f>
        <v/>
      </c>
      <c r="BF25" s="778">
        <f>BF22-BF24</f>
        <v/>
      </c>
      <c r="BG25" s="778">
        <f>BG22-BG24</f>
        <v/>
      </c>
      <c r="BH25" s="778">
        <f>BH22-BH24</f>
        <v/>
      </c>
      <c r="BI25" s="778">
        <f>BI22-BI24</f>
        <v/>
      </c>
      <c r="BJ25" s="779">
        <f>SUM(B25:BI25)</f>
        <v/>
      </c>
    </row>
    <row r="26">
      <c r="A26" s="195" t="inlineStr">
        <is>
          <t>Margen Neto (%)</t>
        </is>
      </c>
      <c r="B26" s="780">
        <f>IF(B8=0,0,B25/B8)</f>
        <v/>
      </c>
      <c r="C26" s="780">
        <f>IF(C8=0,0,C25/C8)</f>
        <v/>
      </c>
      <c r="D26" s="780">
        <f>IF(D8=0,0,D25/D8)</f>
        <v/>
      </c>
      <c r="E26" s="780">
        <f>IF(E8=0,0,E25/E8)</f>
        <v/>
      </c>
      <c r="F26" s="780">
        <f>IF(F8=0,0,F25/F8)</f>
        <v/>
      </c>
      <c r="G26" s="780">
        <f>IF(G8=0,0,G25/G8)</f>
        <v/>
      </c>
      <c r="H26" s="780">
        <f>IF(H8=0,0,H25/H8)</f>
        <v/>
      </c>
      <c r="I26" s="780">
        <f>IF(I8=0,0,I25/I8)</f>
        <v/>
      </c>
      <c r="J26" s="780">
        <f>IF(J8=0,0,J25/J8)</f>
        <v/>
      </c>
      <c r="K26" s="780">
        <f>IF(K8=0,0,K25/K8)</f>
        <v/>
      </c>
      <c r="L26" s="780">
        <f>IF(L8=0,0,L25/L8)</f>
        <v/>
      </c>
      <c r="M26" s="780">
        <f>IF(M8=0,0,M25/M8)</f>
        <v/>
      </c>
      <c r="N26" s="780">
        <f>IF(N8=0,0,N25/N8)</f>
        <v/>
      </c>
      <c r="O26" s="780">
        <f>IF(O8=0,0,O25/O8)</f>
        <v/>
      </c>
      <c r="P26" s="780">
        <f>IF(P8=0,0,P25/P8)</f>
        <v/>
      </c>
      <c r="Q26" s="780">
        <f>IF(Q8=0,0,Q25/Q8)</f>
        <v/>
      </c>
      <c r="R26" s="780">
        <f>IF(R8=0,0,R25/R8)</f>
        <v/>
      </c>
      <c r="S26" s="780">
        <f>IF(S8=0,0,S25/S8)</f>
        <v/>
      </c>
      <c r="T26" s="780">
        <f>IF(T8=0,0,T25/T8)</f>
        <v/>
      </c>
      <c r="U26" s="780">
        <f>IF(U8=0,0,U25/U8)</f>
        <v/>
      </c>
      <c r="V26" s="780">
        <f>IF(V8=0,0,V25/V8)</f>
        <v/>
      </c>
      <c r="W26" s="780">
        <f>IF(W8=0,0,W25/W8)</f>
        <v/>
      </c>
      <c r="X26" s="780">
        <f>IF(X8=0,0,X25/X8)</f>
        <v/>
      </c>
      <c r="Y26" s="780">
        <f>IF(Y8=0,0,Y25/Y8)</f>
        <v/>
      </c>
      <c r="Z26" s="780">
        <f>IF(Z8=0,0,Z25/Z8)</f>
        <v/>
      </c>
      <c r="AA26" s="780">
        <f>IF(AA8=0,0,AA25/AA8)</f>
        <v/>
      </c>
      <c r="AB26" s="780">
        <f>IF(AB8=0,0,AB25/AB8)</f>
        <v/>
      </c>
      <c r="AC26" s="780">
        <f>IF(AC8=0,0,AC25/AC8)</f>
        <v/>
      </c>
      <c r="AD26" s="780">
        <f>IF(AD8=0,0,AD25/AD8)</f>
        <v/>
      </c>
      <c r="AE26" s="780">
        <f>IF(AE8=0,0,AE25/AE8)</f>
        <v/>
      </c>
      <c r="AF26" s="780">
        <f>IF(AF8=0,0,AF25/AF8)</f>
        <v/>
      </c>
      <c r="AG26" s="780">
        <f>IF(AG8=0,0,AG25/AG8)</f>
        <v/>
      </c>
      <c r="AH26" s="780">
        <f>IF(AH8=0,0,AH25/AH8)</f>
        <v/>
      </c>
      <c r="AI26" s="780">
        <f>IF(AI8=0,0,AI25/AI8)</f>
        <v/>
      </c>
      <c r="AJ26" s="780">
        <f>IF(AJ8=0,0,AJ25/AJ8)</f>
        <v/>
      </c>
      <c r="AK26" s="780">
        <f>IF(AK8=0,0,AK25/AK8)</f>
        <v/>
      </c>
      <c r="AL26" s="780">
        <f>IF(AL8=0,0,AL25/AL8)</f>
        <v/>
      </c>
      <c r="AM26" s="780">
        <f>IF(AM8=0,0,AM25/AM8)</f>
        <v/>
      </c>
      <c r="AN26" s="780">
        <f>IF(AN8=0,0,AN25/AN8)</f>
        <v/>
      </c>
      <c r="AO26" s="780">
        <f>IF(AO8=0,0,AO25/AO8)</f>
        <v/>
      </c>
      <c r="AP26" s="780">
        <f>IF(AP8=0,0,AP25/AP8)</f>
        <v/>
      </c>
      <c r="AQ26" s="780">
        <f>IF(AQ8=0,0,AQ25/AQ8)</f>
        <v/>
      </c>
      <c r="AR26" s="780">
        <f>IF(AR8=0,0,AR25/AR8)</f>
        <v/>
      </c>
      <c r="AS26" s="780">
        <f>IF(AS8=0,0,AS25/AS8)</f>
        <v/>
      </c>
      <c r="AT26" s="780">
        <f>IF(AT8=0,0,AT25/AT8)</f>
        <v/>
      </c>
      <c r="AU26" s="780">
        <f>IF(AU8=0,0,AU25/AU8)</f>
        <v/>
      </c>
      <c r="AV26" s="780">
        <f>IF(AV8=0,0,AV25/AV8)</f>
        <v/>
      </c>
      <c r="AW26" s="780">
        <f>IF(AW8=0,0,AW25/AW8)</f>
        <v/>
      </c>
      <c r="AX26" s="780">
        <f>IF(AX8=0,0,AX25/AX8)</f>
        <v/>
      </c>
      <c r="AY26" s="780">
        <f>IF(AY8=0,0,AY25/AY8)</f>
        <v/>
      </c>
      <c r="AZ26" s="780">
        <f>IF(AZ8=0,0,AZ25/AZ8)</f>
        <v/>
      </c>
      <c r="BA26" s="780">
        <f>IF(BA8=0,0,BA25/BA8)</f>
        <v/>
      </c>
      <c r="BB26" s="780">
        <f>IF(BB8=0,0,BB25/BB8)</f>
        <v/>
      </c>
      <c r="BC26" s="780">
        <f>IF(BC8=0,0,BC25/BC8)</f>
        <v/>
      </c>
      <c r="BD26" s="780">
        <f>IF(BD8=0,0,BD25/BD8)</f>
        <v/>
      </c>
      <c r="BE26" s="780">
        <f>IF(BE8=0,0,BE25/BE8)</f>
        <v/>
      </c>
      <c r="BF26" s="780">
        <f>IF(BF8=0,0,BF25/BF8)</f>
        <v/>
      </c>
      <c r="BG26" s="780">
        <f>IF(BG8=0,0,BG25/BG8)</f>
        <v/>
      </c>
      <c r="BH26" s="780">
        <f>IF(BH8=0,0,BH25/BH8)</f>
        <v/>
      </c>
      <c r="BI26" s="780">
        <f>IF(BI8=0,0,BI25/BI8)</f>
        <v/>
      </c>
      <c r="BJ26" s="774">
        <f>IF(BJ8=0,0,BJ25/BJ8)</f>
        <v/>
      </c>
    </row>
    <row r="28">
      <c r="A28" s="87" t="inlineStr">
        <is>
          <t>FLUJO DE CAJA</t>
        </is>
      </c>
    </row>
    <row r="29">
      <c r="A29" t="inlineStr">
        <is>
          <t>Caja Inicial</t>
        </is>
      </c>
      <c r="B29" s="721">
        <f>'Supuestos Generales'!$B$8</f>
        <v/>
      </c>
      <c r="C29" s="721">
        <f>B31</f>
        <v/>
      </c>
      <c r="D29" s="721">
        <f>C31</f>
        <v/>
      </c>
      <c r="E29" s="721">
        <f>D31</f>
        <v/>
      </c>
      <c r="F29" s="721">
        <f>E31</f>
        <v/>
      </c>
      <c r="G29" s="721">
        <f>F31</f>
        <v/>
      </c>
      <c r="H29" s="721">
        <f>G31</f>
        <v/>
      </c>
      <c r="I29" s="721">
        <f>H31</f>
        <v/>
      </c>
      <c r="J29" s="721">
        <f>I31</f>
        <v/>
      </c>
      <c r="K29" s="721">
        <f>J31</f>
        <v/>
      </c>
      <c r="L29" s="721">
        <f>K31</f>
        <v/>
      </c>
      <c r="M29" s="721">
        <f>L31</f>
        <v/>
      </c>
      <c r="N29" s="721">
        <f>M31</f>
        <v/>
      </c>
      <c r="O29" s="721">
        <f>N31</f>
        <v/>
      </c>
      <c r="P29" s="721">
        <f>O31</f>
        <v/>
      </c>
      <c r="Q29" s="721">
        <f>P31</f>
        <v/>
      </c>
      <c r="R29" s="721">
        <f>Q31</f>
        <v/>
      </c>
      <c r="S29" s="721">
        <f>R31</f>
        <v/>
      </c>
      <c r="T29" s="721">
        <f>S31</f>
        <v/>
      </c>
      <c r="U29" s="721">
        <f>T31</f>
        <v/>
      </c>
      <c r="V29" s="721">
        <f>U31</f>
        <v/>
      </c>
      <c r="W29" s="721">
        <f>V31</f>
        <v/>
      </c>
      <c r="X29" s="721">
        <f>W31</f>
        <v/>
      </c>
      <c r="Y29" s="721">
        <f>X31</f>
        <v/>
      </c>
      <c r="Z29" s="721">
        <f>Y31</f>
        <v/>
      </c>
      <c r="AA29" s="721">
        <f>Z31</f>
        <v/>
      </c>
      <c r="AB29" s="721">
        <f>AA31</f>
        <v/>
      </c>
      <c r="AC29" s="721">
        <f>AB31</f>
        <v/>
      </c>
      <c r="AD29" s="721">
        <f>AC31</f>
        <v/>
      </c>
      <c r="AE29" s="721">
        <f>AD31</f>
        <v/>
      </c>
      <c r="AF29" s="721">
        <f>AE31</f>
        <v/>
      </c>
      <c r="AG29" s="721">
        <f>AF31</f>
        <v/>
      </c>
      <c r="AH29" s="721">
        <f>AG31</f>
        <v/>
      </c>
      <c r="AI29" s="721">
        <f>AH31</f>
        <v/>
      </c>
      <c r="AJ29" s="721">
        <f>AI31</f>
        <v/>
      </c>
      <c r="AK29" s="721">
        <f>AJ31</f>
        <v/>
      </c>
      <c r="AL29" s="721">
        <f>AK31</f>
        <v/>
      </c>
      <c r="AM29" s="721">
        <f>AL31</f>
        <v/>
      </c>
      <c r="AN29" s="721">
        <f>AM31</f>
        <v/>
      </c>
      <c r="AO29" s="721">
        <f>AN31</f>
        <v/>
      </c>
      <c r="AP29" s="721">
        <f>AO31</f>
        <v/>
      </c>
      <c r="AQ29" s="721">
        <f>AP31</f>
        <v/>
      </c>
      <c r="AR29" s="721">
        <f>AQ31</f>
        <v/>
      </c>
      <c r="AS29" s="721">
        <f>AR31</f>
        <v/>
      </c>
      <c r="AT29" s="721">
        <f>AS31</f>
        <v/>
      </c>
      <c r="AU29" s="721">
        <f>AT31</f>
        <v/>
      </c>
      <c r="AV29" s="721">
        <f>AU31</f>
        <v/>
      </c>
      <c r="AW29" s="721">
        <f>AV31</f>
        <v/>
      </c>
      <c r="AX29" s="721">
        <f>AW31</f>
        <v/>
      </c>
      <c r="AY29" s="721">
        <f>AX31</f>
        <v/>
      </c>
      <c r="AZ29" s="721">
        <f>AY31</f>
        <v/>
      </c>
      <c r="BA29" s="721">
        <f>AZ31</f>
        <v/>
      </c>
      <c r="BB29" s="721">
        <f>BA31</f>
        <v/>
      </c>
      <c r="BC29" s="721">
        <f>BB31</f>
        <v/>
      </c>
      <c r="BD29" s="721">
        <f>BC31</f>
        <v/>
      </c>
      <c r="BE29" s="721">
        <f>BD31</f>
        <v/>
      </c>
      <c r="BF29" s="721">
        <f>BE31</f>
        <v/>
      </c>
      <c r="BG29" s="721">
        <f>BF31</f>
        <v/>
      </c>
      <c r="BH29" s="721">
        <f>BG31</f>
        <v/>
      </c>
      <c r="BI29" s="721">
        <f>BH31</f>
        <v/>
      </c>
      <c r="BJ29" s="721" t="n"/>
    </row>
    <row r="30">
      <c r="A30" t="inlineStr">
        <is>
          <t>Flujo del Mes (= Utilidad Neta)</t>
        </is>
      </c>
      <c r="B30" s="721">
        <f>B25</f>
        <v/>
      </c>
      <c r="C30" s="721">
        <f>C25</f>
        <v/>
      </c>
      <c r="D30" s="721">
        <f>D25</f>
        <v/>
      </c>
      <c r="E30" s="721">
        <f>E25</f>
        <v/>
      </c>
      <c r="F30" s="721">
        <f>F25</f>
        <v/>
      </c>
      <c r="G30" s="721">
        <f>G25</f>
        <v/>
      </c>
      <c r="H30" s="721">
        <f>H25</f>
        <v/>
      </c>
      <c r="I30" s="721">
        <f>I25</f>
        <v/>
      </c>
      <c r="J30" s="721">
        <f>J25</f>
        <v/>
      </c>
      <c r="K30" s="721">
        <f>K25</f>
        <v/>
      </c>
      <c r="L30" s="721">
        <f>L25</f>
        <v/>
      </c>
      <c r="M30" s="721">
        <f>M25</f>
        <v/>
      </c>
      <c r="N30" s="721">
        <f>N25</f>
        <v/>
      </c>
      <c r="O30" s="721">
        <f>O25</f>
        <v/>
      </c>
      <c r="P30" s="721">
        <f>P25</f>
        <v/>
      </c>
      <c r="Q30" s="721">
        <f>Q25</f>
        <v/>
      </c>
      <c r="R30" s="721">
        <f>R25</f>
        <v/>
      </c>
      <c r="S30" s="721">
        <f>S25</f>
        <v/>
      </c>
      <c r="T30" s="721">
        <f>T25</f>
        <v/>
      </c>
      <c r="U30" s="721">
        <f>U25</f>
        <v/>
      </c>
      <c r="V30" s="721">
        <f>V25</f>
        <v/>
      </c>
      <c r="W30" s="721">
        <f>W25</f>
        <v/>
      </c>
      <c r="X30" s="721">
        <f>X25</f>
        <v/>
      </c>
      <c r="Y30" s="721">
        <f>Y25</f>
        <v/>
      </c>
      <c r="Z30" s="721">
        <f>Z25</f>
        <v/>
      </c>
      <c r="AA30" s="721">
        <f>AA25</f>
        <v/>
      </c>
      <c r="AB30" s="721">
        <f>AB25</f>
        <v/>
      </c>
      <c r="AC30" s="721">
        <f>AC25</f>
        <v/>
      </c>
      <c r="AD30" s="721">
        <f>AD25</f>
        <v/>
      </c>
      <c r="AE30" s="721">
        <f>AE25</f>
        <v/>
      </c>
      <c r="AF30" s="721">
        <f>AF25</f>
        <v/>
      </c>
      <c r="AG30" s="721">
        <f>AG25</f>
        <v/>
      </c>
      <c r="AH30" s="721">
        <f>AH25</f>
        <v/>
      </c>
      <c r="AI30" s="721">
        <f>AI25</f>
        <v/>
      </c>
      <c r="AJ30" s="721">
        <f>AJ25</f>
        <v/>
      </c>
      <c r="AK30" s="721">
        <f>AK25</f>
        <v/>
      </c>
      <c r="AL30" s="721">
        <f>AL25</f>
        <v/>
      </c>
      <c r="AM30" s="721">
        <f>AM25</f>
        <v/>
      </c>
      <c r="AN30" s="721">
        <f>AN25</f>
        <v/>
      </c>
      <c r="AO30" s="721">
        <f>AO25</f>
        <v/>
      </c>
      <c r="AP30" s="721">
        <f>AP25</f>
        <v/>
      </c>
      <c r="AQ30" s="721">
        <f>AQ25</f>
        <v/>
      </c>
      <c r="AR30" s="721">
        <f>AR25</f>
        <v/>
      </c>
      <c r="AS30" s="721">
        <f>AS25</f>
        <v/>
      </c>
      <c r="AT30" s="721">
        <f>AT25</f>
        <v/>
      </c>
      <c r="AU30" s="721">
        <f>AU25</f>
        <v/>
      </c>
      <c r="AV30" s="721">
        <f>AV25</f>
        <v/>
      </c>
      <c r="AW30" s="721">
        <f>AW25</f>
        <v/>
      </c>
      <c r="AX30" s="721">
        <f>AX25</f>
        <v/>
      </c>
      <c r="AY30" s="721">
        <f>AY25</f>
        <v/>
      </c>
      <c r="AZ30" s="721">
        <f>AZ25</f>
        <v/>
      </c>
      <c r="BA30" s="721">
        <f>BA25</f>
        <v/>
      </c>
      <c r="BB30" s="721">
        <f>BB25</f>
        <v/>
      </c>
      <c r="BC30" s="721">
        <f>BC25</f>
        <v/>
      </c>
      <c r="BD30" s="721">
        <f>BD25</f>
        <v/>
      </c>
      <c r="BE30" s="721">
        <f>BE25</f>
        <v/>
      </c>
      <c r="BF30" s="721">
        <f>BF25</f>
        <v/>
      </c>
      <c r="BG30" s="721">
        <f>BG25</f>
        <v/>
      </c>
      <c r="BH30" s="721">
        <f>BH25</f>
        <v/>
      </c>
      <c r="BI30" s="721">
        <f>BI25</f>
        <v/>
      </c>
      <c r="BJ30" s="720">
        <f>SUM(B30:BI30)</f>
        <v/>
      </c>
    </row>
    <row r="31">
      <c r="A31" s="86" t="inlineStr">
        <is>
          <t>Caja Final</t>
        </is>
      </c>
      <c r="B31" s="770">
        <f>B29+B30</f>
        <v/>
      </c>
      <c r="C31" s="770">
        <f>C29+C30</f>
        <v/>
      </c>
      <c r="D31" s="770">
        <f>D29+D30</f>
        <v/>
      </c>
      <c r="E31" s="770">
        <f>E29+E30</f>
        <v/>
      </c>
      <c r="F31" s="770">
        <f>F29+F30</f>
        <v/>
      </c>
      <c r="G31" s="770">
        <f>G29+G30</f>
        <v/>
      </c>
      <c r="H31" s="770">
        <f>H29+H30</f>
        <v/>
      </c>
      <c r="I31" s="770">
        <f>I29+I30</f>
        <v/>
      </c>
      <c r="J31" s="770">
        <f>J29+J30</f>
        <v/>
      </c>
      <c r="K31" s="770">
        <f>K29+K30</f>
        <v/>
      </c>
      <c r="L31" s="770">
        <f>L29+L30</f>
        <v/>
      </c>
      <c r="M31" s="770">
        <f>M29+M30</f>
        <v/>
      </c>
      <c r="N31" s="770">
        <f>N29+N30</f>
        <v/>
      </c>
      <c r="O31" s="770">
        <f>O29+O30</f>
        <v/>
      </c>
      <c r="P31" s="770">
        <f>P29+P30</f>
        <v/>
      </c>
      <c r="Q31" s="770">
        <f>Q29+Q30</f>
        <v/>
      </c>
      <c r="R31" s="770">
        <f>R29+R30</f>
        <v/>
      </c>
      <c r="S31" s="770">
        <f>S29+S30</f>
        <v/>
      </c>
      <c r="T31" s="770">
        <f>T29+T30</f>
        <v/>
      </c>
      <c r="U31" s="770">
        <f>U29+U30</f>
        <v/>
      </c>
      <c r="V31" s="770">
        <f>V29+V30</f>
        <v/>
      </c>
      <c r="W31" s="770">
        <f>W29+W30</f>
        <v/>
      </c>
      <c r="X31" s="770">
        <f>X29+X30</f>
        <v/>
      </c>
      <c r="Y31" s="770">
        <f>Y29+Y30</f>
        <v/>
      </c>
      <c r="Z31" s="770">
        <f>Z29+Z30</f>
        <v/>
      </c>
      <c r="AA31" s="770">
        <f>AA29+AA30</f>
        <v/>
      </c>
      <c r="AB31" s="770">
        <f>AB29+AB30</f>
        <v/>
      </c>
      <c r="AC31" s="770">
        <f>AC29+AC30</f>
        <v/>
      </c>
      <c r="AD31" s="770">
        <f>AD29+AD30</f>
        <v/>
      </c>
      <c r="AE31" s="770">
        <f>AE29+AE30</f>
        <v/>
      </c>
      <c r="AF31" s="770">
        <f>AF29+AF30</f>
        <v/>
      </c>
      <c r="AG31" s="770">
        <f>AG29+AG30</f>
        <v/>
      </c>
      <c r="AH31" s="770">
        <f>AH29+AH30</f>
        <v/>
      </c>
      <c r="AI31" s="770">
        <f>AI29+AI30</f>
        <v/>
      </c>
      <c r="AJ31" s="770">
        <f>AJ29+AJ30</f>
        <v/>
      </c>
      <c r="AK31" s="770">
        <f>AK29+AK30</f>
        <v/>
      </c>
      <c r="AL31" s="770">
        <f>AL29+AL30</f>
        <v/>
      </c>
      <c r="AM31" s="770">
        <f>AM29+AM30</f>
        <v/>
      </c>
      <c r="AN31" s="770">
        <f>AN29+AN30</f>
        <v/>
      </c>
      <c r="AO31" s="770">
        <f>AO29+AO30</f>
        <v/>
      </c>
      <c r="AP31" s="770">
        <f>AP29+AP30</f>
        <v/>
      </c>
      <c r="AQ31" s="770">
        <f>AQ29+AQ30</f>
        <v/>
      </c>
      <c r="AR31" s="770">
        <f>AR29+AR30</f>
        <v/>
      </c>
      <c r="AS31" s="770">
        <f>AS29+AS30</f>
        <v/>
      </c>
      <c r="AT31" s="770">
        <f>AT29+AT30</f>
        <v/>
      </c>
      <c r="AU31" s="770">
        <f>AU29+AU30</f>
        <v/>
      </c>
      <c r="AV31" s="770">
        <f>AV29+AV30</f>
        <v/>
      </c>
      <c r="AW31" s="770">
        <f>AW29+AW30</f>
        <v/>
      </c>
      <c r="AX31" s="770">
        <f>AX29+AX30</f>
        <v/>
      </c>
      <c r="AY31" s="770">
        <f>AY29+AY30</f>
        <v/>
      </c>
      <c r="AZ31" s="770">
        <f>AZ29+AZ30</f>
        <v/>
      </c>
      <c r="BA31" s="770">
        <f>BA29+BA30</f>
        <v/>
      </c>
      <c r="BB31" s="770">
        <f>BB29+BB30</f>
        <v/>
      </c>
      <c r="BC31" s="770">
        <f>BC29+BC30</f>
        <v/>
      </c>
      <c r="BD31" s="770">
        <f>BD29+BD30</f>
        <v/>
      </c>
      <c r="BE31" s="770">
        <f>BE29+BE30</f>
        <v/>
      </c>
      <c r="BF31" s="770">
        <f>BF29+BF30</f>
        <v/>
      </c>
      <c r="BG31" s="770">
        <f>BG29+BG30</f>
        <v/>
      </c>
      <c r="BH31" s="770">
        <f>BH29+BH30</f>
        <v/>
      </c>
      <c r="BI31" s="770">
        <f>BI29+BI30</f>
        <v/>
      </c>
      <c r="BJ31" s="770">
        <f>BI31</f>
        <v/>
      </c>
    </row>
    <row r="32">
      <c r="A32" s="88" t="inlineStr">
        <is>
          <t>Runway (meses)</t>
        </is>
      </c>
      <c r="B32" s="781">
        <f>IF(B30&gt;=0,"N/A",B31/(-B30))</f>
        <v/>
      </c>
      <c r="C32" s="781">
        <f>IF(C30&gt;=0,"N/A",C31/(-C30))</f>
        <v/>
      </c>
      <c r="D32" s="781">
        <f>IF(D30&gt;=0,"N/A",D31/(-D30))</f>
        <v/>
      </c>
      <c r="E32" s="781">
        <f>IF(E30&gt;=0,"N/A",E31/(-E30))</f>
        <v/>
      </c>
      <c r="F32" s="781">
        <f>IF(F30&gt;=0,"N/A",F31/(-F30))</f>
        <v/>
      </c>
      <c r="G32" s="781">
        <f>IF(G30&gt;=0,"N/A",G31/(-G30))</f>
        <v/>
      </c>
      <c r="H32" s="781">
        <f>IF(H30&gt;=0,"N/A",H31/(-H30))</f>
        <v/>
      </c>
      <c r="I32" s="781">
        <f>IF(I30&gt;=0,"N/A",I31/(-I30))</f>
        <v/>
      </c>
      <c r="J32" s="781">
        <f>IF(J30&gt;=0,"N/A",J31/(-J30))</f>
        <v/>
      </c>
      <c r="K32" s="781">
        <f>IF(K30&gt;=0,"N/A",K31/(-K30))</f>
        <v/>
      </c>
      <c r="L32" s="781">
        <f>IF(L30&gt;=0,"N/A",L31/(-L30))</f>
        <v/>
      </c>
      <c r="M32" s="781">
        <f>IF(M30&gt;=0,"N/A",M31/(-M30))</f>
        <v/>
      </c>
      <c r="N32" s="781">
        <f>IF(N30&gt;=0,"N/A",N31/(-N30))</f>
        <v/>
      </c>
      <c r="O32" s="781">
        <f>IF(O30&gt;=0,"N/A",O31/(-O30))</f>
        <v/>
      </c>
      <c r="P32" s="781">
        <f>IF(P30&gt;=0,"N/A",P31/(-P30))</f>
        <v/>
      </c>
      <c r="Q32" s="781">
        <f>IF(Q30&gt;=0,"N/A",Q31/(-Q30))</f>
        <v/>
      </c>
      <c r="R32" s="781">
        <f>IF(R30&gt;=0,"N/A",R31/(-R30))</f>
        <v/>
      </c>
      <c r="S32" s="781">
        <f>IF(S30&gt;=0,"N/A",S31/(-S30))</f>
        <v/>
      </c>
      <c r="T32" s="781">
        <f>IF(T30&gt;=0,"N/A",T31/(-T30))</f>
        <v/>
      </c>
      <c r="U32" s="781">
        <f>IF(U30&gt;=0,"N/A",U31/(-U30))</f>
        <v/>
      </c>
      <c r="V32" s="781">
        <f>IF(V30&gt;=0,"N/A",V31/(-V30))</f>
        <v/>
      </c>
      <c r="W32" s="781">
        <f>IF(W30&gt;=0,"N/A",W31/(-W30))</f>
        <v/>
      </c>
      <c r="X32" s="781">
        <f>IF(X30&gt;=0,"N/A",X31/(-X30))</f>
        <v/>
      </c>
      <c r="Y32" s="781">
        <f>IF(Y30&gt;=0,"N/A",Y31/(-Y30))</f>
        <v/>
      </c>
      <c r="Z32" s="781">
        <f>IF(Z30&gt;=0,"N/A",Z31/(-Z30))</f>
        <v/>
      </c>
      <c r="AA32" s="781">
        <f>IF(AA30&gt;=0,"N/A",AA31/(-AA30))</f>
        <v/>
      </c>
      <c r="AB32" s="781">
        <f>IF(AB30&gt;=0,"N/A",AB31/(-AB30))</f>
        <v/>
      </c>
      <c r="AC32" s="781">
        <f>IF(AC30&gt;=0,"N/A",AC31/(-AC30))</f>
        <v/>
      </c>
      <c r="AD32" s="781">
        <f>IF(AD30&gt;=0,"N/A",AD31/(-AD30))</f>
        <v/>
      </c>
      <c r="AE32" s="781">
        <f>IF(AE30&gt;=0,"N/A",AE31/(-AE30))</f>
        <v/>
      </c>
      <c r="AF32" s="781">
        <f>IF(AF30&gt;=0,"N/A",AF31/(-AF30))</f>
        <v/>
      </c>
      <c r="AG32" s="781">
        <f>IF(AG30&gt;=0,"N/A",AG31/(-AG30))</f>
        <v/>
      </c>
      <c r="AH32" s="781">
        <f>IF(AH30&gt;=0,"N/A",AH31/(-AH30))</f>
        <v/>
      </c>
      <c r="AI32" s="781">
        <f>IF(AI30&gt;=0,"N/A",AI31/(-AI30))</f>
        <v/>
      </c>
      <c r="AJ32" s="781">
        <f>IF(AJ30&gt;=0,"N/A",AJ31/(-AJ30))</f>
        <v/>
      </c>
      <c r="AK32" s="781">
        <f>IF(AK30&gt;=0,"N/A",AK31/(-AK30))</f>
        <v/>
      </c>
      <c r="AL32" s="781">
        <f>IF(AL30&gt;=0,"N/A",AL31/(-AL30))</f>
        <v/>
      </c>
      <c r="AM32" s="781">
        <f>IF(AM30&gt;=0,"N/A",AM31/(-AM30))</f>
        <v/>
      </c>
      <c r="AN32" s="781">
        <f>IF(AN30&gt;=0,"N/A",AN31/(-AN30))</f>
        <v/>
      </c>
      <c r="AO32" s="781">
        <f>IF(AO30&gt;=0,"N/A",AO31/(-AO30))</f>
        <v/>
      </c>
      <c r="AP32" s="781">
        <f>IF(AP30&gt;=0,"N/A",AP31/(-AP30))</f>
        <v/>
      </c>
      <c r="AQ32" s="781">
        <f>IF(AQ30&gt;=0,"N/A",AQ31/(-AQ30))</f>
        <v/>
      </c>
      <c r="AR32" s="781">
        <f>IF(AR30&gt;=0,"N/A",AR31/(-AR30))</f>
        <v/>
      </c>
      <c r="AS32" s="781">
        <f>IF(AS30&gt;=0,"N/A",AS31/(-AS30))</f>
        <v/>
      </c>
      <c r="AT32" s="781">
        <f>IF(AT30&gt;=0,"N/A",AT31/(-AT30))</f>
        <v/>
      </c>
      <c r="AU32" s="781">
        <f>IF(AU30&gt;=0,"N/A",AU31/(-AU30))</f>
        <v/>
      </c>
      <c r="AV32" s="781">
        <f>IF(AV30&gt;=0,"N/A",AV31/(-AV30))</f>
        <v/>
      </c>
      <c r="AW32" s="781">
        <f>IF(AW30&gt;=0,"N/A",AW31/(-AW30))</f>
        <v/>
      </c>
      <c r="AX32" s="781">
        <f>IF(AX30&gt;=0,"N/A",AX31/(-AX30))</f>
        <v/>
      </c>
      <c r="AY32" s="781">
        <f>IF(AY30&gt;=0,"N/A",AY31/(-AY30))</f>
        <v/>
      </c>
      <c r="AZ32" s="781">
        <f>IF(AZ30&gt;=0,"N/A",AZ31/(-AZ30))</f>
        <v/>
      </c>
      <c r="BA32" s="781">
        <f>IF(BA30&gt;=0,"N/A",BA31/(-BA30))</f>
        <v/>
      </c>
      <c r="BB32" s="781">
        <f>IF(BB30&gt;=0,"N/A",BB31/(-BB30))</f>
        <v/>
      </c>
      <c r="BC32" s="781">
        <f>IF(BC30&gt;=0,"N/A",BC31/(-BC30))</f>
        <v/>
      </c>
      <c r="BD32" s="781">
        <f>IF(BD30&gt;=0,"N/A",BD31/(-BD30))</f>
        <v/>
      </c>
      <c r="BE32" s="781">
        <f>IF(BE30&gt;=0,"N/A",BE31/(-BE30))</f>
        <v/>
      </c>
      <c r="BF32" s="781">
        <f>IF(BF30&gt;=0,"N/A",BF31/(-BF30))</f>
        <v/>
      </c>
      <c r="BG32" s="781">
        <f>IF(BG30&gt;=0,"N/A",BG31/(-BG30))</f>
        <v/>
      </c>
      <c r="BH32" s="781">
        <f>IF(BH30&gt;=0,"N/A",BH31/(-BH30))</f>
        <v/>
      </c>
      <c r="BI32" s="781">
        <f>IF(BI30&gt;=0,"N/A",BI31/(-BI30))</f>
        <v/>
      </c>
      <c r="BJ32" s="88" t="n"/>
    </row>
    <row r="34">
      <c r="A34" s="87" t="inlineStr">
        <is>
          <t>KPIs OPERATIVOS</t>
        </is>
      </c>
    </row>
    <row r="35">
      <c r="A35" t="inlineStr">
        <is>
          <t>Restaurantes activos</t>
        </is>
      </c>
      <c r="B35" s="98">
        <f>Onboarding!B12</f>
        <v/>
      </c>
      <c r="C35" s="98">
        <f>Onboarding!C12</f>
        <v/>
      </c>
      <c r="D35" s="98">
        <f>Onboarding!D12</f>
        <v/>
      </c>
      <c r="E35" s="98">
        <f>Onboarding!E12</f>
        <v/>
      </c>
      <c r="F35" s="98">
        <f>Onboarding!F12</f>
        <v/>
      </c>
      <c r="G35" s="98">
        <f>Onboarding!G12</f>
        <v/>
      </c>
      <c r="H35" s="98">
        <f>Onboarding!H12</f>
        <v/>
      </c>
      <c r="I35" s="98">
        <f>Onboarding!I12</f>
        <v/>
      </c>
      <c r="J35" s="98">
        <f>Onboarding!J12</f>
        <v/>
      </c>
      <c r="K35" s="98">
        <f>Onboarding!K12</f>
        <v/>
      </c>
      <c r="L35" s="98">
        <f>Onboarding!L12</f>
        <v/>
      </c>
      <c r="M35" s="98">
        <f>Onboarding!M12</f>
        <v/>
      </c>
      <c r="N35" s="98">
        <f>Onboarding!N12</f>
        <v/>
      </c>
      <c r="O35" s="98">
        <f>Onboarding!O12</f>
        <v/>
      </c>
      <c r="P35" s="98">
        <f>Onboarding!P12</f>
        <v/>
      </c>
      <c r="Q35" s="98">
        <f>Onboarding!Q12</f>
        <v/>
      </c>
      <c r="R35" s="98">
        <f>Onboarding!R12</f>
        <v/>
      </c>
      <c r="S35" s="98">
        <f>Onboarding!S12</f>
        <v/>
      </c>
      <c r="T35" s="98">
        <f>Onboarding!T12</f>
        <v/>
      </c>
      <c r="U35" s="98">
        <f>Onboarding!U12</f>
        <v/>
      </c>
      <c r="V35" s="98">
        <f>Onboarding!V12</f>
        <v/>
      </c>
      <c r="W35" s="98">
        <f>Onboarding!W12</f>
        <v/>
      </c>
      <c r="X35" s="98">
        <f>Onboarding!X12</f>
        <v/>
      </c>
      <c r="Y35" s="98">
        <f>Onboarding!Y12</f>
        <v/>
      </c>
      <c r="Z35" s="98">
        <f>Onboarding!Z12</f>
        <v/>
      </c>
      <c r="AA35" s="98">
        <f>Onboarding!AA12</f>
        <v/>
      </c>
      <c r="AB35" s="98">
        <f>Onboarding!AB12</f>
        <v/>
      </c>
      <c r="AC35" s="98">
        <f>Onboarding!AC12</f>
        <v/>
      </c>
      <c r="AD35" s="98">
        <f>Onboarding!AD12</f>
        <v/>
      </c>
      <c r="AE35" s="98">
        <f>Onboarding!AE12</f>
        <v/>
      </c>
      <c r="AF35" s="98">
        <f>Onboarding!AF12</f>
        <v/>
      </c>
      <c r="AG35" s="98">
        <f>Onboarding!AG12</f>
        <v/>
      </c>
      <c r="AH35" s="98">
        <f>Onboarding!AH12</f>
        <v/>
      </c>
      <c r="AI35" s="98">
        <f>Onboarding!AI12</f>
        <v/>
      </c>
      <c r="AJ35" s="98">
        <f>Onboarding!AJ12</f>
        <v/>
      </c>
      <c r="AK35" s="98">
        <f>Onboarding!AK12</f>
        <v/>
      </c>
      <c r="AL35" s="98">
        <f>Onboarding!AL12</f>
        <v/>
      </c>
      <c r="AM35" s="98">
        <f>Onboarding!AM12</f>
        <v/>
      </c>
      <c r="AN35" s="98">
        <f>Onboarding!AN12</f>
        <v/>
      </c>
      <c r="AO35" s="98">
        <f>Onboarding!AO12</f>
        <v/>
      </c>
      <c r="AP35" s="98">
        <f>Onboarding!AP12</f>
        <v/>
      </c>
      <c r="AQ35" s="98">
        <f>Onboarding!AQ12</f>
        <v/>
      </c>
      <c r="AR35" s="98">
        <f>Onboarding!AR12</f>
        <v/>
      </c>
      <c r="AS35" s="98">
        <f>Onboarding!AS12</f>
        <v/>
      </c>
      <c r="AT35" s="98">
        <f>Onboarding!AT12</f>
        <v/>
      </c>
      <c r="AU35" s="98">
        <f>Onboarding!AU12</f>
        <v/>
      </c>
      <c r="AV35" s="98">
        <f>Onboarding!AV12</f>
        <v/>
      </c>
      <c r="AW35" s="98">
        <f>Onboarding!AW12</f>
        <v/>
      </c>
      <c r="AX35" s="98">
        <f>Onboarding!AX12</f>
        <v/>
      </c>
      <c r="AY35" s="98">
        <f>Onboarding!AY12</f>
        <v/>
      </c>
      <c r="AZ35" s="98">
        <f>Onboarding!AZ12</f>
        <v/>
      </c>
      <c r="BA35" s="98">
        <f>Onboarding!BA12</f>
        <v/>
      </c>
      <c r="BB35" s="98">
        <f>Onboarding!BB12</f>
        <v/>
      </c>
      <c r="BC35" s="98">
        <f>Onboarding!BC12</f>
        <v/>
      </c>
      <c r="BD35" s="98">
        <f>Onboarding!BD12</f>
        <v/>
      </c>
      <c r="BE35" s="98">
        <f>Onboarding!BE12</f>
        <v/>
      </c>
      <c r="BF35" s="98">
        <f>Onboarding!BF12</f>
        <v/>
      </c>
      <c r="BG35" s="98">
        <f>Onboarding!BG12</f>
        <v/>
      </c>
      <c r="BH35" s="98">
        <f>Onboarding!BH12</f>
        <v/>
      </c>
      <c r="BI35" s="98">
        <f>Onboarding!BI12</f>
        <v/>
      </c>
      <c r="BJ35" s="101">
        <f>BI35</f>
        <v/>
      </c>
    </row>
    <row r="36">
      <c r="A36" t="inlineStr">
        <is>
          <t>Meseros activos</t>
        </is>
      </c>
      <c r="B36" s="98">
        <f>Onboarding!B19</f>
        <v/>
      </c>
      <c r="C36" s="98">
        <f>Onboarding!C19</f>
        <v/>
      </c>
      <c r="D36" s="98">
        <f>Onboarding!D19</f>
        <v/>
      </c>
      <c r="E36" s="98">
        <f>Onboarding!E19</f>
        <v/>
      </c>
      <c r="F36" s="98">
        <f>Onboarding!F19</f>
        <v/>
      </c>
      <c r="G36" s="98">
        <f>Onboarding!G19</f>
        <v/>
      </c>
      <c r="H36" s="98">
        <f>Onboarding!H19</f>
        <v/>
      </c>
      <c r="I36" s="98">
        <f>Onboarding!I19</f>
        <v/>
      </c>
      <c r="J36" s="98">
        <f>Onboarding!J19</f>
        <v/>
      </c>
      <c r="K36" s="98">
        <f>Onboarding!K19</f>
        <v/>
      </c>
      <c r="L36" s="98">
        <f>Onboarding!L19</f>
        <v/>
      </c>
      <c r="M36" s="98">
        <f>Onboarding!M19</f>
        <v/>
      </c>
      <c r="N36" s="98">
        <f>Onboarding!N19</f>
        <v/>
      </c>
      <c r="O36" s="98">
        <f>Onboarding!O19</f>
        <v/>
      </c>
      <c r="P36" s="98">
        <f>Onboarding!P19</f>
        <v/>
      </c>
      <c r="Q36" s="98">
        <f>Onboarding!Q19</f>
        <v/>
      </c>
      <c r="R36" s="98">
        <f>Onboarding!R19</f>
        <v/>
      </c>
      <c r="S36" s="98">
        <f>Onboarding!S19</f>
        <v/>
      </c>
      <c r="T36" s="98">
        <f>Onboarding!T19</f>
        <v/>
      </c>
      <c r="U36" s="98">
        <f>Onboarding!U19</f>
        <v/>
      </c>
      <c r="V36" s="98">
        <f>Onboarding!V19</f>
        <v/>
      </c>
      <c r="W36" s="98">
        <f>Onboarding!W19</f>
        <v/>
      </c>
      <c r="X36" s="98">
        <f>Onboarding!X19</f>
        <v/>
      </c>
      <c r="Y36" s="98">
        <f>Onboarding!Y19</f>
        <v/>
      </c>
      <c r="Z36" s="98">
        <f>Onboarding!Z19</f>
        <v/>
      </c>
      <c r="AA36" s="98">
        <f>Onboarding!AA19</f>
        <v/>
      </c>
      <c r="AB36" s="98">
        <f>Onboarding!AB19</f>
        <v/>
      </c>
      <c r="AC36" s="98">
        <f>Onboarding!AC19</f>
        <v/>
      </c>
      <c r="AD36" s="98">
        <f>Onboarding!AD19</f>
        <v/>
      </c>
      <c r="AE36" s="98">
        <f>Onboarding!AE19</f>
        <v/>
      </c>
      <c r="AF36" s="98">
        <f>Onboarding!AF19</f>
        <v/>
      </c>
      <c r="AG36" s="98">
        <f>Onboarding!AG19</f>
        <v/>
      </c>
      <c r="AH36" s="98">
        <f>Onboarding!AH19</f>
        <v/>
      </c>
      <c r="AI36" s="98">
        <f>Onboarding!AI19</f>
        <v/>
      </c>
      <c r="AJ36" s="98">
        <f>Onboarding!AJ19</f>
        <v/>
      </c>
      <c r="AK36" s="98">
        <f>Onboarding!AK19</f>
        <v/>
      </c>
      <c r="AL36" s="98">
        <f>Onboarding!AL19</f>
        <v/>
      </c>
      <c r="AM36" s="98">
        <f>Onboarding!AM19</f>
        <v/>
      </c>
      <c r="AN36" s="98">
        <f>Onboarding!AN19</f>
        <v/>
      </c>
      <c r="AO36" s="98">
        <f>Onboarding!AO19</f>
        <v/>
      </c>
      <c r="AP36" s="98">
        <f>Onboarding!AP19</f>
        <v/>
      </c>
      <c r="AQ36" s="98">
        <f>Onboarding!AQ19</f>
        <v/>
      </c>
      <c r="AR36" s="98">
        <f>Onboarding!AR19</f>
        <v/>
      </c>
      <c r="AS36" s="98">
        <f>Onboarding!AS19</f>
        <v/>
      </c>
      <c r="AT36" s="98">
        <f>Onboarding!AT19</f>
        <v/>
      </c>
      <c r="AU36" s="98">
        <f>Onboarding!AU19</f>
        <v/>
      </c>
      <c r="AV36" s="98">
        <f>Onboarding!AV19</f>
        <v/>
      </c>
      <c r="AW36" s="98">
        <f>Onboarding!AW19</f>
        <v/>
      </c>
      <c r="AX36" s="98">
        <f>Onboarding!AX19</f>
        <v/>
      </c>
      <c r="AY36" s="98">
        <f>Onboarding!AY19</f>
        <v/>
      </c>
      <c r="AZ36" s="98">
        <f>Onboarding!AZ19</f>
        <v/>
      </c>
      <c r="BA36" s="98">
        <f>Onboarding!BA19</f>
        <v/>
      </c>
      <c r="BB36" s="98">
        <f>Onboarding!BB19</f>
        <v/>
      </c>
      <c r="BC36" s="98">
        <f>Onboarding!BC19</f>
        <v/>
      </c>
      <c r="BD36" s="98">
        <f>Onboarding!BD19</f>
        <v/>
      </c>
      <c r="BE36" s="98">
        <f>Onboarding!BE19</f>
        <v/>
      </c>
      <c r="BF36" s="98">
        <f>Onboarding!BF19</f>
        <v/>
      </c>
      <c r="BG36" s="98">
        <f>Onboarding!BG19</f>
        <v/>
      </c>
      <c r="BH36" s="98">
        <f>Onboarding!BH19</f>
        <v/>
      </c>
      <c r="BI36" s="98">
        <f>Onboarding!BI19</f>
        <v/>
      </c>
      <c r="BJ36" s="101">
        <f>BI36</f>
        <v/>
      </c>
    </row>
    <row r="37">
      <c r="A37" t="inlineStr">
        <is>
          <t>Ingreso por restaurante (USD/mes)</t>
        </is>
      </c>
      <c r="B37" s="782">
        <f>IF(B35=0,0,B8/B35)</f>
        <v/>
      </c>
      <c r="C37" s="782">
        <f>IF(C35=0,0,C8/C35)</f>
        <v/>
      </c>
      <c r="D37" s="782">
        <f>IF(D35=0,0,D8/D35)</f>
        <v/>
      </c>
      <c r="E37" s="782">
        <f>IF(E35=0,0,E8/E35)</f>
        <v/>
      </c>
      <c r="F37" s="782">
        <f>IF(F35=0,0,F8/F35)</f>
        <v/>
      </c>
      <c r="G37" s="782">
        <f>IF(G35=0,0,G8/G35)</f>
        <v/>
      </c>
      <c r="H37" s="782">
        <f>IF(H35=0,0,H8/H35)</f>
        <v/>
      </c>
      <c r="I37" s="782">
        <f>IF(I35=0,0,I8/I35)</f>
        <v/>
      </c>
      <c r="J37" s="782">
        <f>IF(J35=0,0,J8/J35)</f>
        <v/>
      </c>
      <c r="K37" s="782">
        <f>IF(K35=0,0,K8/K35)</f>
        <v/>
      </c>
      <c r="L37" s="782">
        <f>IF(L35=0,0,L8/L35)</f>
        <v/>
      </c>
      <c r="M37" s="782">
        <f>IF(M35=0,0,M8/M35)</f>
        <v/>
      </c>
      <c r="N37" s="782">
        <f>IF(N35=0,0,N8/N35)</f>
        <v/>
      </c>
      <c r="O37" s="782">
        <f>IF(O35=0,0,O8/O35)</f>
        <v/>
      </c>
      <c r="P37" s="782">
        <f>IF(P35=0,0,P8/P35)</f>
        <v/>
      </c>
      <c r="Q37" s="782">
        <f>IF(Q35=0,0,Q8/Q35)</f>
        <v/>
      </c>
      <c r="R37" s="782">
        <f>IF(R35=0,0,R8/R35)</f>
        <v/>
      </c>
      <c r="S37" s="782">
        <f>IF(S35=0,0,S8/S35)</f>
        <v/>
      </c>
      <c r="T37" s="782">
        <f>IF(T35=0,0,T8/T35)</f>
        <v/>
      </c>
      <c r="U37" s="782">
        <f>IF(U35=0,0,U8/U35)</f>
        <v/>
      </c>
      <c r="V37" s="782">
        <f>IF(V35=0,0,V8/V35)</f>
        <v/>
      </c>
      <c r="W37" s="782">
        <f>IF(W35=0,0,W8/W35)</f>
        <v/>
      </c>
      <c r="X37" s="782">
        <f>IF(X35=0,0,X8/X35)</f>
        <v/>
      </c>
      <c r="Y37" s="782">
        <f>IF(Y35=0,0,Y8/Y35)</f>
        <v/>
      </c>
      <c r="Z37" s="782">
        <f>IF(Z35=0,0,Z8/Z35)</f>
        <v/>
      </c>
      <c r="AA37" s="782">
        <f>IF(AA35=0,0,AA8/AA35)</f>
        <v/>
      </c>
      <c r="AB37" s="782">
        <f>IF(AB35=0,0,AB8/AB35)</f>
        <v/>
      </c>
      <c r="AC37" s="782">
        <f>IF(AC35=0,0,AC8/AC35)</f>
        <v/>
      </c>
      <c r="AD37" s="782">
        <f>IF(AD35=0,0,AD8/AD35)</f>
        <v/>
      </c>
      <c r="AE37" s="782">
        <f>IF(AE35=0,0,AE8/AE35)</f>
        <v/>
      </c>
      <c r="AF37" s="782">
        <f>IF(AF35=0,0,AF8/AF35)</f>
        <v/>
      </c>
      <c r="AG37" s="782">
        <f>IF(AG35=0,0,AG8/AG35)</f>
        <v/>
      </c>
      <c r="AH37" s="782">
        <f>IF(AH35=0,0,AH8/AH35)</f>
        <v/>
      </c>
      <c r="AI37" s="782">
        <f>IF(AI35=0,0,AI8/AI35)</f>
        <v/>
      </c>
      <c r="AJ37" s="782">
        <f>IF(AJ35=0,0,AJ8/AJ35)</f>
        <v/>
      </c>
      <c r="AK37" s="782">
        <f>IF(AK35=0,0,AK8/AK35)</f>
        <v/>
      </c>
      <c r="AL37" s="782">
        <f>IF(AL35=0,0,AL8/AL35)</f>
        <v/>
      </c>
      <c r="AM37" s="782">
        <f>IF(AM35=0,0,AM8/AM35)</f>
        <v/>
      </c>
      <c r="AN37" s="782">
        <f>IF(AN35=0,0,AN8/AN35)</f>
        <v/>
      </c>
      <c r="AO37" s="782">
        <f>IF(AO35=0,0,AO8/AO35)</f>
        <v/>
      </c>
      <c r="AP37" s="782">
        <f>IF(AP35=0,0,AP8/AP35)</f>
        <v/>
      </c>
      <c r="AQ37" s="782">
        <f>IF(AQ35=0,0,AQ8/AQ35)</f>
        <v/>
      </c>
      <c r="AR37" s="782">
        <f>IF(AR35=0,0,AR8/AR35)</f>
        <v/>
      </c>
      <c r="AS37" s="782">
        <f>IF(AS35=0,0,AS8/AS35)</f>
        <v/>
      </c>
      <c r="AT37" s="782">
        <f>IF(AT35=0,0,AT8/AT35)</f>
        <v/>
      </c>
      <c r="AU37" s="782">
        <f>IF(AU35=0,0,AU8/AU35)</f>
        <v/>
      </c>
      <c r="AV37" s="782">
        <f>IF(AV35=0,0,AV8/AV35)</f>
        <v/>
      </c>
      <c r="AW37" s="782">
        <f>IF(AW35=0,0,AW8/AW35)</f>
        <v/>
      </c>
      <c r="AX37" s="782">
        <f>IF(AX35=0,0,AX8/AX35)</f>
        <v/>
      </c>
      <c r="AY37" s="782">
        <f>IF(AY35=0,0,AY8/AY35)</f>
        <v/>
      </c>
      <c r="AZ37" s="782">
        <f>IF(AZ35=0,0,AZ8/AZ35)</f>
        <v/>
      </c>
      <c r="BA37" s="782">
        <f>IF(BA35=0,0,BA8/BA35)</f>
        <v/>
      </c>
      <c r="BB37" s="782">
        <f>IF(BB35=0,0,BB8/BB35)</f>
        <v/>
      </c>
      <c r="BC37" s="782">
        <f>IF(BC35=0,0,BC8/BC35)</f>
        <v/>
      </c>
      <c r="BD37" s="782">
        <f>IF(BD35=0,0,BD8/BD35)</f>
        <v/>
      </c>
      <c r="BE37" s="782">
        <f>IF(BE35=0,0,BE8/BE35)</f>
        <v/>
      </c>
      <c r="BF37" s="782">
        <f>IF(BF35=0,0,BF8/BF35)</f>
        <v/>
      </c>
      <c r="BG37" s="782">
        <f>IF(BG35=0,0,BG8/BG35)</f>
        <v/>
      </c>
      <c r="BH37" s="782">
        <f>IF(BH35=0,0,BH8/BH35)</f>
        <v/>
      </c>
      <c r="BI37" s="782">
        <f>IF(BI35=0,0,BI8/BI35)</f>
        <v/>
      </c>
      <c r="BJ37" s="783">
        <f>BI37</f>
        <v/>
      </c>
    </row>
    <row r="38">
      <c r="A38" t="inlineStr">
        <is>
          <t>Costo total por restaurante (USD/mes)</t>
        </is>
      </c>
      <c r="B38" s="782">
        <f>IF(B35=0,0,(B11+B16+B21)/B35)</f>
        <v/>
      </c>
      <c r="C38" s="782">
        <f>IF(C35=0,0,(C11+C16+C21)/C35)</f>
        <v/>
      </c>
      <c r="D38" s="782">
        <f>IF(D35=0,0,(D11+D16+D21)/D35)</f>
        <v/>
      </c>
      <c r="E38" s="782">
        <f>IF(E35=0,0,(E11+E16+E21)/E35)</f>
        <v/>
      </c>
      <c r="F38" s="782">
        <f>IF(F35=0,0,(F11+F16+F21)/F35)</f>
        <v/>
      </c>
      <c r="G38" s="782">
        <f>IF(G35=0,0,(G11+G16+G21)/G35)</f>
        <v/>
      </c>
      <c r="H38" s="782">
        <f>IF(H35=0,0,(H11+H16+H21)/H35)</f>
        <v/>
      </c>
      <c r="I38" s="782">
        <f>IF(I35=0,0,(I11+I16+I21)/I35)</f>
        <v/>
      </c>
      <c r="J38" s="782">
        <f>IF(J35=0,0,(J11+J16+J21)/J35)</f>
        <v/>
      </c>
      <c r="K38" s="782">
        <f>IF(K35=0,0,(K11+K16+K21)/K35)</f>
        <v/>
      </c>
      <c r="L38" s="782">
        <f>IF(L35=0,0,(L11+L16+L21)/L35)</f>
        <v/>
      </c>
      <c r="M38" s="782">
        <f>IF(M35=0,0,(M11+M16+M21)/M35)</f>
        <v/>
      </c>
      <c r="N38" s="782">
        <f>IF(N35=0,0,(N11+N16+N21)/N35)</f>
        <v/>
      </c>
      <c r="O38" s="782">
        <f>IF(O35=0,0,(O11+O16+O21)/O35)</f>
        <v/>
      </c>
      <c r="P38" s="782">
        <f>IF(P35=0,0,(P11+P16+P21)/P35)</f>
        <v/>
      </c>
      <c r="Q38" s="782">
        <f>IF(Q35=0,0,(Q11+Q16+Q21)/Q35)</f>
        <v/>
      </c>
      <c r="R38" s="782">
        <f>IF(R35=0,0,(R11+R16+R21)/R35)</f>
        <v/>
      </c>
      <c r="S38" s="782">
        <f>IF(S35=0,0,(S11+S16+S21)/S35)</f>
        <v/>
      </c>
      <c r="T38" s="782">
        <f>IF(T35=0,0,(T11+T16+T21)/T35)</f>
        <v/>
      </c>
      <c r="U38" s="782">
        <f>IF(U35=0,0,(U11+U16+U21)/U35)</f>
        <v/>
      </c>
      <c r="V38" s="782">
        <f>IF(V35=0,0,(V11+V16+V21)/V35)</f>
        <v/>
      </c>
      <c r="W38" s="782">
        <f>IF(W35=0,0,(W11+W16+W21)/W35)</f>
        <v/>
      </c>
      <c r="X38" s="782">
        <f>IF(X35=0,0,(X11+X16+X21)/X35)</f>
        <v/>
      </c>
      <c r="Y38" s="782">
        <f>IF(Y35=0,0,(Y11+Y16+Y21)/Y35)</f>
        <v/>
      </c>
      <c r="Z38" s="782">
        <f>IF(Z35=0,0,(Z11+Z16+Z21)/Z35)</f>
        <v/>
      </c>
      <c r="AA38" s="782">
        <f>IF(AA35=0,0,(AA11+AA16+AA21)/AA35)</f>
        <v/>
      </c>
      <c r="AB38" s="782">
        <f>IF(AB35=0,0,(AB11+AB16+AB21)/AB35)</f>
        <v/>
      </c>
      <c r="AC38" s="782">
        <f>IF(AC35=0,0,(AC11+AC16+AC21)/AC35)</f>
        <v/>
      </c>
      <c r="AD38" s="782">
        <f>IF(AD35=0,0,(AD11+AD16+AD21)/AD35)</f>
        <v/>
      </c>
      <c r="AE38" s="782">
        <f>IF(AE35=0,0,(AE11+AE16+AE21)/AE35)</f>
        <v/>
      </c>
      <c r="AF38" s="782">
        <f>IF(AF35=0,0,(AF11+AF16+AF21)/AF35)</f>
        <v/>
      </c>
      <c r="AG38" s="782">
        <f>IF(AG35=0,0,(AG11+AG16+AG21)/AG35)</f>
        <v/>
      </c>
      <c r="AH38" s="782">
        <f>IF(AH35=0,0,(AH11+AH16+AH21)/AH35)</f>
        <v/>
      </c>
      <c r="AI38" s="782">
        <f>IF(AI35=0,0,(AI11+AI16+AI21)/AI35)</f>
        <v/>
      </c>
      <c r="AJ38" s="782">
        <f>IF(AJ35=0,0,(AJ11+AJ16+AJ21)/AJ35)</f>
        <v/>
      </c>
      <c r="AK38" s="782">
        <f>IF(AK35=0,0,(AK11+AK16+AK21)/AK35)</f>
        <v/>
      </c>
      <c r="AL38" s="782">
        <f>IF(AL35=0,0,(AL11+AL16+AL21)/AL35)</f>
        <v/>
      </c>
      <c r="AM38" s="782">
        <f>IF(AM35=0,0,(AM11+AM16+AM21)/AM35)</f>
        <v/>
      </c>
      <c r="AN38" s="782">
        <f>IF(AN35=0,0,(AN11+AN16+AN21)/AN35)</f>
        <v/>
      </c>
      <c r="AO38" s="782">
        <f>IF(AO35=0,0,(AO11+AO16+AO21)/AO35)</f>
        <v/>
      </c>
      <c r="AP38" s="782">
        <f>IF(AP35=0,0,(AP11+AP16+AP21)/AP35)</f>
        <v/>
      </c>
      <c r="AQ38" s="782">
        <f>IF(AQ35=0,0,(AQ11+AQ16+AQ21)/AQ35)</f>
        <v/>
      </c>
      <c r="AR38" s="782">
        <f>IF(AR35=0,0,(AR11+AR16+AR21)/AR35)</f>
        <v/>
      </c>
      <c r="AS38" s="782">
        <f>IF(AS35=0,0,(AS11+AS16+AS21)/AS35)</f>
        <v/>
      </c>
      <c r="AT38" s="782">
        <f>IF(AT35=0,0,(AT11+AT16+AT21)/AT35)</f>
        <v/>
      </c>
      <c r="AU38" s="782">
        <f>IF(AU35=0,0,(AU11+AU16+AU21)/AU35)</f>
        <v/>
      </c>
      <c r="AV38" s="782">
        <f>IF(AV35=0,0,(AV11+AV16+AV21)/AV35)</f>
        <v/>
      </c>
      <c r="AW38" s="782">
        <f>IF(AW35=0,0,(AW11+AW16+AW21)/AW35)</f>
        <v/>
      </c>
      <c r="AX38" s="782">
        <f>IF(AX35=0,0,(AX11+AX16+AX21)/AX35)</f>
        <v/>
      </c>
      <c r="AY38" s="782">
        <f>IF(AY35=0,0,(AY11+AY16+AY21)/AY35)</f>
        <v/>
      </c>
      <c r="AZ38" s="782">
        <f>IF(AZ35=0,0,(AZ11+AZ16+AZ21)/AZ35)</f>
        <v/>
      </c>
      <c r="BA38" s="782">
        <f>IF(BA35=0,0,(BA11+BA16+BA21)/BA35)</f>
        <v/>
      </c>
      <c r="BB38" s="782">
        <f>IF(BB35=0,0,(BB11+BB16+BB21)/BB35)</f>
        <v/>
      </c>
      <c r="BC38" s="782">
        <f>IF(BC35=0,0,(BC11+BC16+BC21)/BC35)</f>
        <v/>
      </c>
      <c r="BD38" s="782">
        <f>IF(BD35=0,0,(BD11+BD16+BD21)/BD35)</f>
        <v/>
      </c>
      <c r="BE38" s="782">
        <f>IF(BE35=0,0,(BE11+BE16+BE21)/BE35)</f>
        <v/>
      </c>
      <c r="BF38" s="782">
        <f>IF(BF35=0,0,(BF11+BF16+BF21)/BF35)</f>
        <v/>
      </c>
      <c r="BG38" s="782">
        <f>IF(BG35=0,0,(BG11+BG16+BG21)/BG35)</f>
        <v/>
      </c>
      <c r="BH38" s="782">
        <f>IF(BH35=0,0,(BH11+BH16+BH21)/BH35)</f>
        <v/>
      </c>
      <c r="BI38" s="782">
        <f>IF(BI35=0,0,(BI11+BI16+BI21)/BI35)</f>
        <v/>
      </c>
      <c r="BJ38" s="783">
        <f>BI38</f>
        <v/>
      </c>
    </row>
  </sheetData>
  <pageMargins left="0.7" right="0.7" top="0.75" bottom="0.75" header="0.3" footer="0.3"/>
  <pageSetup orientation="portrait" horizontalDpi="0" verticalDpi="0"/>
</worksheet>
</file>

<file path=xl/worksheets/sheet14.xml><?xml version="1.0" encoding="utf-8"?>
<worksheet xmlns="http://schemas.openxmlformats.org/spreadsheetml/2006/main">
  <sheetPr>
    <tabColor rgb="FF548235"/>
    <outlinePr summaryBelow="1" summaryRight="1"/>
    <pageSetUpPr/>
  </sheetPr>
  <dimension ref="A1:K101"/>
  <sheetViews>
    <sheetView workbookViewId="0">
      <pane ySplit="3" topLeftCell="A4" activePane="bottomLeft" state="frozen"/>
      <selection pane="bottomLeft" activeCell="C36" sqref="C36"/>
    </sheetView>
  </sheetViews>
  <sheetFormatPr baseColWidth="10" defaultRowHeight="16"/>
  <cols>
    <col width="48.33203125" customWidth="1" min="1" max="1"/>
    <col width="1.6640625" customWidth="1" min="2" max="2"/>
    <col width="16" customWidth="1" min="3" max="3"/>
    <col width="10.83203125" customWidth="1" min="4" max="4"/>
    <col width="46.6640625" customWidth="1" min="5" max="5"/>
    <col width="14.1640625" customWidth="1" min="6" max="7"/>
    <col width="21.6640625" customWidth="1" min="8" max="8"/>
    <col width="14.1640625" customWidth="1" min="9" max="11"/>
  </cols>
  <sheetData>
    <row r="1" ht="19" customHeight="1">
      <c r="A1" s="285" t="inlineStr">
        <is>
          <t>VALORACIÓN PRE-SEMILLA — SUPER MESEROS</t>
        </is>
      </c>
      <c r="B1" s="103" t="n"/>
      <c r="C1" s="103" t="n"/>
      <c r="D1" s="103" t="n"/>
      <c r="E1" s="103" t="n"/>
      <c r="F1" s="103" t="n"/>
      <c r="G1" s="103" t="n"/>
      <c r="H1" s="430" t="inlineStr">
        <is>
          <t>⚡ ESCENARIO</t>
        </is>
      </c>
      <c r="I1" s="103" t="n"/>
      <c r="J1" s="103" t="n"/>
      <c r="K1" s="103" t="n"/>
    </row>
    <row r="2">
      <c r="A2" s="238" t="inlineStr">
        <is>
          <t>Spin-Off de Superlikers  ·  Modelo de valoración interactivo para inversionistas</t>
        </is>
      </c>
      <c r="H2" s="327">
        <f>CHOOSE(Escenarios!B4,"PESIMISTA","BASE","OPTIMISTA")</f>
        <v/>
      </c>
    </row>
    <row r="3">
      <c r="H3" s="431">
        <f>HYPERLINK("#Escenarios!B4","✏️ Cambiar escenario →")</f>
        <v/>
      </c>
    </row>
    <row r="4">
      <c r="A4" s="35" t="inlineStr">
        <is>
          <t>VARIABLES DE ENTRADA</t>
        </is>
      </c>
      <c r="B4" s="6" t="n"/>
      <c r="C4" s="23" t="inlineStr">
        <is>
          <t>Valor</t>
        </is>
      </c>
      <c r="D4" s="23" t="inlineStr">
        <is>
          <t>Unidad</t>
        </is>
      </c>
      <c r="E4" s="73" t="inlineStr">
        <is>
          <t>Notas</t>
        </is>
      </c>
      <c r="F4" s="6" t="n"/>
      <c r="G4" s="6" t="n"/>
      <c r="H4" s="281" t="inlineStr">
        <is>
          <t>📖 GUÍA PARA EL INVERSIONISTA</t>
        </is>
      </c>
      <c r="I4" s="6" t="n"/>
      <c r="J4" s="6" t="n"/>
      <c r="K4" s="6" t="n"/>
    </row>
    <row r="5">
      <c r="A5" s="240" t="inlineStr">
        <is>
          <t>Pipeline de Restaurantes</t>
        </is>
      </c>
      <c r="B5" s="241" t="n"/>
      <c r="C5" s="241" t="n"/>
      <c r="D5" s="241" t="n"/>
      <c r="E5" s="241" t="n"/>
      <c r="H5" s="280" t="inlineStr">
        <is>
          <t>CONTEXTO ESTRATÉGICO</t>
        </is>
      </c>
    </row>
    <row r="6">
      <c r="A6" s="243" t="inlineStr">
        <is>
          <t xml:space="preserve">  Coca-Cola (exclusividad)</t>
        </is>
      </c>
      <c r="C6" s="362">
        <f>IF(Palancas!$B$13=1,Palancas!$B$17,0)</f>
        <v/>
      </c>
      <c r="D6" s="66" t="inlineStr">
        <is>
          <t>rest.</t>
        </is>
      </c>
      <c r="E6" s="244" t="inlineStr">
        <is>
          <t>← Coca-Cola activo; neto de solapamiento si toggle = ON</t>
        </is>
      </c>
      <c r="H6" s="282" t="inlineStr">
        <is>
          <t>• Spin-Off de Superlikers (15 años en gamificación)</t>
        </is>
      </c>
    </row>
    <row r="7">
      <c r="A7" s="243" t="inlineStr">
        <is>
          <t xml:space="preserve">  ACODRES Colombia</t>
        </is>
      </c>
      <c r="C7" s="362">
        <f>IF(Palancas!$F$13=1,Palancas!$F$17,0)</f>
        <v/>
      </c>
      <c r="D7" s="66" t="inlineStr">
        <is>
          <t>rest.</t>
        </is>
      </c>
      <c r="E7" s="244" t="inlineStr">
        <is>
          <t>← ACODRES activo; neto de solapamiento si toggle = ON</t>
        </is>
      </c>
      <c r="H7" s="282" t="inlineStr">
        <is>
          <t>• PMF validado: Grupo Modelo, Backus, Pernod Ricard</t>
        </is>
      </c>
    </row>
    <row r="8">
      <c r="A8" s="243" t="inlineStr">
        <is>
          <t xml:space="preserve">  Coca-Cola Florida (piloto USA)</t>
        </is>
      </c>
      <c r="C8" s="362">
        <f>IF(Palancas!$B$29=1,Palancas!$B$33,0)</f>
        <v/>
      </c>
      <c r="D8" s="66" t="inlineStr">
        <is>
          <t>rest.</t>
        </is>
      </c>
      <c r="E8" s="244" t="inlineStr">
        <is>
          <t>← CC Florida activo; solo cuenta si toggle = ON</t>
        </is>
      </c>
      <c r="H8" s="282" t="inlineStr">
        <is>
          <t>• Coca-Cola: exclusividad + 5,000 rest. pipeline</t>
        </is>
      </c>
    </row>
    <row r="9">
      <c r="A9" s="243" t="inlineStr">
        <is>
          <t xml:space="preserve">  Bavaria Colombia</t>
        </is>
      </c>
      <c r="C9" s="362">
        <f>IF(Palancas!$B$21=1,Palancas!$B$25,0)</f>
        <v/>
      </c>
      <c r="D9" s="66" t="inlineStr">
        <is>
          <t>rest.</t>
        </is>
      </c>
      <c r="E9" s="244" t="inlineStr">
        <is>
          <t>← Bavaria activa; neto de solapamiento si toggle = ON</t>
        </is>
      </c>
      <c r="H9" s="282" t="inlineStr">
        <is>
          <t>• Bavaria Colombia: 4,500 rest. buscan implementar SM</t>
        </is>
      </c>
    </row>
    <row r="10">
      <c r="A10" s="243" t="inlineStr">
        <is>
          <t xml:space="preserve">  FEMSA Ventures (México)</t>
        </is>
      </c>
      <c r="C10" s="362">
        <f>IF(Palancas!$F$21=1,Palancas!$F$25,0)</f>
        <v/>
      </c>
      <c r="D10" s="66" t="inlineStr">
        <is>
          <t>rest.</t>
        </is>
      </c>
      <c r="E10" s="244" t="inlineStr">
        <is>
          <t>← FEMSA activa; solo cuenta si toggle = ON</t>
        </is>
      </c>
      <c r="H10" s="363" t="inlineStr">
        <is>
          <t>• Pipeline total: 76,500 rest. (5 alianzas estratégicas)</t>
        </is>
      </c>
    </row>
    <row r="11">
      <c r="A11" s="243" t="inlineStr">
        <is>
          <t xml:space="preserve">  % conversión del pipeline</t>
        </is>
      </c>
      <c r="C11" s="245" t="n">
        <v>0.1</v>
      </c>
      <c r="D11" s="66" t="inlineStr">
        <is>
          <t>%</t>
        </is>
      </c>
      <c r="E11" s="244" t="inlineStr">
        <is>
          <t>Porcentaje estimado de conversión efectiva a 36 meses</t>
        </is>
      </c>
      <c r="H11" s="282" t="inlineStr">
        <is>
          <t>• ACODRES Colombia: canal institucional</t>
        </is>
      </c>
    </row>
    <row r="12">
      <c r="H12" s="282" t="inlineStr">
        <is>
          <t>• FEMSA Ventures: intención de inversión (México)</t>
        </is>
      </c>
    </row>
    <row r="13">
      <c r="A13" s="240" t="inlineStr">
        <is>
          <t>Unit Economics</t>
        </is>
      </c>
      <c r="B13" s="241" t="n"/>
      <c r="C13" s="241" t="n"/>
      <c r="D13" s="241" t="n"/>
      <c r="E13" s="241" t="n"/>
      <c r="H13" s="282" t="inlineStr">
        <is>
          <t>• Coca-Cola Florida: piloto USA → Atlanta</t>
        </is>
      </c>
    </row>
    <row r="14">
      <c r="A14" s="243" t="inlineStr">
        <is>
          <t xml:space="preserve">  Meseros promedio por restaurante</t>
        </is>
      </c>
      <c r="C14" s="362">
        <f>'Supuestos Generales'!B19</f>
        <v/>
      </c>
      <c r="D14" s="66" t="inlineStr">
        <is>
          <t>meseros</t>
        </is>
      </c>
      <c r="E14" s="244" t="inlineStr">
        <is>
          <t>Promedio industria restaurantes LATAM</t>
        </is>
      </c>
    </row>
    <row r="15">
      <c r="A15" s="243" t="inlineStr">
        <is>
          <t xml:space="preserve">  % meseros activos</t>
        </is>
      </c>
      <c r="C15" s="364">
        <f>'Supuestos Generales'!B20</f>
        <v/>
      </c>
      <c r="D15" s="66" t="inlineStr">
        <is>
          <t>%</t>
        </is>
      </c>
      <c r="E15" s="244" t="inlineStr">
        <is>
          <t>← SupGen!B20 | Cambia con escenario (Pes=75%, Base=85%, Opt=95%)</t>
        </is>
      </c>
      <c r="H15" s="280" t="inlineStr">
        <is>
          <t>CÓMO USAR ESTA HOJA</t>
        </is>
      </c>
    </row>
    <row r="16">
      <c r="A16" s="243" t="inlineStr">
        <is>
          <t xml:space="preserve">  ARPU mensual por mesero (restaurante)</t>
        </is>
      </c>
      <c r="C16" s="737">
        <f>'Supuestos Generales'!B26</f>
        <v/>
      </c>
      <c r="D16" s="66" t="inlineStr">
        <is>
          <t>USD/mes</t>
        </is>
      </c>
      <c r="E16" s="244" t="inlineStr">
        <is>
          <t>← SupGen!B26 | Cambia con escenario (Pes=$10, Base=$15, Opt=$20)</t>
        </is>
      </c>
      <c r="H16" s="282" t="inlineStr">
        <is>
          <t>1. Modifique las celdas amarillas (col C) para ajustar variables del pipeline, unit economics y parámetros de valoración.</t>
        </is>
      </c>
    </row>
    <row r="17">
      <c r="A17" s="243" t="inlineStr">
        <is>
          <t xml:space="preserve">  ARPU mensual por mesero (marcas)</t>
        </is>
      </c>
      <c r="C17" s="737">
        <f>'Supuestos Generales'!B27</f>
        <v/>
      </c>
      <c r="D17" s="66" t="inlineStr">
        <is>
          <t>USD/mes</t>
        </is>
      </c>
      <c r="E17" s="244" t="inlineStr">
        <is>
          <t>← SupGen!B27 | Cambia con escenario (Pes=$7, Base=$10, Opt=$15)</t>
        </is>
      </c>
      <c r="H17" s="282" t="inlineStr">
        <is>
          <t>2. La sección "Métricas Calculadas" muestra los números derivados automáticamente.</t>
        </is>
      </c>
    </row>
    <row r="18">
      <c r="A18" s="243" t="inlineStr">
        <is>
          <t xml:space="preserve">  Marcas promedio por restaurante</t>
        </is>
      </c>
      <c r="C18" s="362">
        <f>'Supuestos Generales'!B28</f>
        <v/>
      </c>
      <c r="D18" s="66" t="inlineStr">
        <is>
          <t>marcas</t>
        </is>
      </c>
      <c r="E18" s="244" t="inlineStr">
        <is>
          <t>← SupGen!B28 | Cambia con escenario (Pes=1, Base=2, Opt=3)</t>
        </is>
      </c>
      <c r="H18" s="282" t="inlineStr">
        <is>
          <t>3. Los "Resultados de Valoración" ofrecen 3 métodos: pipeline puro, modelo financiero y promedio ponderado.</t>
        </is>
      </c>
    </row>
    <row r="19">
      <c r="H19" s="282" t="inlineStr">
        <is>
          <t>4. Las Tablas de Sensibilidad permiten explorar escenarios cambiando 2 variables simultáneamente.</t>
        </is>
      </c>
    </row>
    <row r="20">
      <c r="A20" s="240" t="inlineStr">
        <is>
          <t>Parámetros de Valoración</t>
        </is>
      </c>
      <c r="B20" s="241" t="n"/>
      <c r="C20" s="241" t="n"/>
      <c r="D20" s="241" t="n"/>
      <c r="E20" s="241" t="n"/>
      <c r="H20" s="282" t="inlineStr">
        <is>
          <t>5. Los datos del modelo financiero (verde) se vinculan automáticamente a la hoja Estados Financieros.</t>
        </is>
      </c>
    </row>
    <row r="21">
      <c r="A21" s="243" t="inlineStr">
        <is>
          <t xml:space="preserve">  Múltiplo de ARR para valoración</t>
        </is>
      </c>
      <c r="C21" s="784" t="n">
        <v>5</v>
      </c>
      <c r="D21" s="66" t="inlineStr">
        <is>
          <t>x ARR</t>
        </is>
      </c>
      <c r="E21" s="244" t="inlineStr">
        <is>
          <t>SaaS B2B pre-seed LATAM: 3x-8x; con tracción USA: 5x-15x</t>
        </is>
      </c>
      <c r="H21" s="283" t="inlineStr">
        <is>
          <t>Azules = editables | Verdes = vinculadas a Palancas/EF | Negras = fórmulas</t>
        </is>
      </c>
      <c r="I21" s="284" t="n"/>
      <c r="J21" s="284" t="n"/>
      <c r="K21" s="284" t="n"/>
    </row>
    <row r="22">
      <c r="A22" s="243" t="inlineStr">
        <is>
          <t xml:space="preserve">  Monto a levantar (pre-semilla)</t>
        </is>
      </c>
      <c r="C22" s="785" t="n">
        <v>750000</v>
      </c>
      <c r="D22" s="66" t="inlineStr">
        <is>
          <t>USD</t>
        </is>
      </c>
      <c r="E22" s="244" t="inlineStr">
        <is>
          <t>Rango típico pre-semilla LATAM: $300K - $1.5M</t>
        </is>
      </c>
    </row>
    <row r="23">
      <c r="A23" s="243" t="inlineStr">
        <is>
          <t xml:space="preserve">  % Peso Pipeline en valoración</t>
        </is>
      </c>
      <c r="B23" s="27" t="n"/>
      <c r="C23" s="245" t="n">
        <v>0.3</v>
      </c>
      <c r="D23" s="66" t="inlineStr">
        <is>
          <t>%</t>
        </is>
      </c>
      <c r="E23" s="244" t="inlineStr">
        <is>
          <t>0% = solo modelo real; 100% = solo pipeline. Default: 20%</t>
        </is>
      </c>
    </row>
    <row r="24">
      <c r="A24" s="35" t="inlineStr">
        <is>
          <t>MÉTRICAS CALCULADAS</t>
        </is>
      </c>
      <c r="B24" s="6" t="n"/>
      <c r="C24" s="6" t="n"/>
      <c r="D24" s="6" t="n"/>
      <c r="E24" s="6" t="n"/>
    </row>
    <row r="25">
      <c r="A25" s="240" t="inlineStr">
        <is>
          <t>Pipeline de Ingresos</t>
        </is>
      </c>
      <c r="B25" s="241" t="n"/>
      <c r="C25" s="241" t="n"/>
      <c r="D25" s="241" t="n"/>
      <c r="E25" s="241" t="n"/>
    </row>
    <row r="26">
      <c r="A26" s="242" t="inlineStr">
        <is>
          <t xml:space="preserve">  Total restaurantes pipeline activo (neto)</t>
        </is>
      </c>
      <c r="C26" s="248">
        <f>C6+C7+C8+C9+C10</f>
        <v/>
      </c>
      <c r="D26" s="66" t="inlineStr">
        <is>
          <t>rest.</t>
        </is>
      </c>
    </row>
    <row r="27">
      <c r="A27" s="242" t="inlineStr">
        <is>
          <t xml:space="preserve">  Restaurantes efectivos (con conversión activa)</t>
        </is>
      </c>
      <c r="C27" s="248">
        <f>C26*C11</f>
        <v/>
      </c>
      <c r="D27" s="66" t="inlineStr">
        <is>
          <t>rest.</t>
        </is>
      </c>
    </row>
    <row r="28">
      <c r="A28" s="242" t="inlineStr">
        <is>
          <t xml:space="preserve">  Total meseros activos</t>
        </is>
      </c>
      <c r="C28" s="248">
        <f>C27*C14*C15</f>
        <v/>
      </c>
      <c r="D28" s="66" t="inlineStr">
        <is>
          <t>meseros</t>
        </is>
      </c>
    </row>
    <row r="29">
      <c r="A29" s="242" t="inlineStr">
        <is>
          <t xml:space="preserve">  MRR por mesero (restaurante + marcas)</t>
        </is>
      </c>
      <c r="C29" s="786">
        <f>C16+(C17*C18)</f>
        <v/>
      </c>
      <c r="D29" s="66" t="inlineStr">
        <is>
          <t>USD/mes</t>
        </is>
      </c>
    </row>
    <row r="31">
      <c r="A31" s="240" t="inlineStr">
        <is>
          <t>Ingresos Proyectados del Pipeline Activo</t>
        </is>
      </c>
      <c r="B31" s="241" t="n"/>
      <c r="C31" s="241" t="n"/>
      <c r="D31" s="241" t="n"/>
      <c r="E31" s="241" t="n"/>
    </row>
    <row r="32">
      <c r="A32" s="242" t="inlineStr">
        <is>
          <t xml:space="preserve">  MRR total del pipeline</t>
        </is>
      </c>
      <c r="C32" s="786">
        <f>C28*C29+C27*'Supuestos Generales'!B59*'Supuestos Generales'!B60</f>
        <v/>
      </c>
      <c r="D32" s="66" t="inlineStr">
        <is>
          <t>USD/mes</t>
        </is>
      </c>
    </row>
    <row r="33">
      <c r="A33" s="239" t="inlineStr">
        <is>
          <t xml:space="preserve">  ARR del pipeline (MRR × 12)</t>
        </is>
      </c>
      <c r="C33" s="787">
        <f>C32*12</f>
        <v/>
      </c>
      <c r="D33" s="66" t="inlineStr">
        <is>
          <t>USD/año</t>
        </is>
      </c>
      <c r="E33" s="251" t="inlineStr">
        <is>
          <t>← Ingreso recurrente anualizado del pipeline activo</t>
        </is>
      </c>
    </row>
    <row r="35">
      <c r="A35" s="240" t="inlineStr">
        <is>
          <t>Datos del Modelo Financiero (automático)</t>
        </is>
      </c>
      <c r="B35" s="241" t="n"/>
      <c r="C35" s="241" t="n"/>
      <c r="D35" s="241" t="n"/>
      <c r="E35" s="241" t="n"/>
    </row>
    <row r="36">
      <c r="A36" s="242" t="inlineStr">
        <is>
          <t xml:space="preserve">  ARR del modelo financiero (cierre Año 1)</t>
        </is>
      </c>
      <c r="C36" s="788">
        <f>'Estados Financieros'!M7*12</f>
        <v/>
      </c>
      <c r="D36" s="66" t="inlineStr">
        <is>
          <t>USD/año</t>
        </is>
      </c>
      <c r="E36" s="251" t="inlineStr">
        <is>
          <t>← Ingresos recurrentes anualizados (cierre Año 1)</t>
        </is>
      </c>
    </row>
    <row r="37">
      <c r="A37" s="242" t="inlineStr">
        <is>
          <t xml:space="preserve">  ARR del modelo financiero (cierre Año 2)</t>
        </is>
      </c>
      <c r="C37" s="788">
        <f>'Estados Financieros'!Y7*12</f>
        <v/>
      </c>
      <c r="D37" s="66" t="inlineStr">
        <is>
          <t>USD/año</t>
        </is>
      </c>
      <c r="E37" s="251" t="inlineStr">
        <is>
          <t>← Ingresos recurrentes anualizados (cierre Año 2)</t>
        </is>
      </c>
    </row>
    <row r="38">
      <c r="A38" s="242" t="inlineStr">
        <is>
          <t xml:space="preserve">  EBITDA acumulado (60 meses)</t>
        </is>
      </c>
      <c r="C38" s="788">
        <f>'Estados Financieros'!BJ22</f>
        <v/>
      </c>
      <c r="D38" s="66" t="inlineStr">
        <is>
          <t>USD</t>
        </is>
      </c>
      <c r="E38" s="251" t="inlineStr">
        <is>
          <t>← Vinculado a Estados Financieros</t>
        </is>
      </c>
    </row>
    <row r="39">
      <c r="A39" s="242" t="inlineStr">
        <is>
          <t xml:space="preserve">  Utilidad neta acumulada (60 meses)</t>
        </is>
      </c>
      <c r="C39" s="788">
        <f>'Estados Financieros'!BJ25</f>
        <v/>
      </c>
      <c r="D39" s="66" t="inlineStr">
        <is>
          <t>USD</t>
        </is>
      </c>
      <c r="E39" s="251" t="inlineStr">
        <is>
          <t>← Vinculado a Estados Financieros</t>
        </is>
      </c>
    </row>
    <row r="40">
      <c r="A40" s="242" t="inlineStr">
        <is>
          <t xml:space="preserve">  Restaurantes activos (mes 60)</t>
        </is>
      </c>
      <c r="C40" s="253">
        <f>'Estados Financieros'!BJ35</f>
        <v/>
      </c>
      <c r="D40" s="66" t="inlineStr">
        <is>
          <t>rest.</t>
        </is>
      </c>
      <c r="E40" s="251" t="inlineStr">
        <is>
          <t>← Vinculado a Estados Financieros</t>
        </is>
      </c>
    </row>
    <row r="41">
      <c r="A41" s="242" t="inlineStr">
        <is>
          <t xml:space="preserve">  Caja final (mes 60)</t>
        </is>
      </c>
      <c r="C41" s="788">
        <f>'Estados Financieros'!BJ31</f>
        <v/>
      </c>
      <c r="D41" s="66" t="inlineStr">
        <is>
          <t>USD</t>
        </is>
      </c>
      <c r="E41" s="251" t="inlineStr">
        <is>
          <t>← Vinculado a Estados Financieros</t>
        </is>
      </c>
    </row>
    <row r="44">
      <c r="A44" s="232" t="inlineStr">
        <is>
          <t>RESULTADOS DE VALORACIÓN</t>
        </is>
      </c>
      <c r="B44" s="103" t="n"/>
      <c r="C44" s="103" t="n"/>
      <c r="D44" s="103" t="n"/>
      <c r="E44" s="103" t="n"/>
    </row>
    <row r="45">
      <c r="A45" s="240" t="inlineStr">
        <is>
          <t>Método 1: Múltiplos de ARR Pipeline</t>
        </is>
      </c>
      <c r="B45" s="241" t="n"/>
      <c r="C45" s="241" t="n"/>
      <c r="D45" s="241" t="n"/>
      <c r="E45" s="241" t="n"/>
    </row>
    <row r="46" ht="18" customHeight="1">
      <c r="A46" s="242" t="inlineStr">
        <is>
          <t xml:space="preserve">  Valoración Pre-Money (Múltiplo × ARR Pipeline)</t>
        </is>
      </c>
      <c r="C46" s="789">
        <f>C21*C33</f>
        <v/>
      </c>
      <c r="D46" s="66" t="inlineStr">
        <is>
          <t>USD</t>
        </is>
      </c>
      <c r="E46" s="251">
        <f>"= "&amp;C21&amp;"x  ×  ARR Pipeline"</f>
        <v/>
      </c>
    </row>
    <row r="48">
      <c r="A48" s="240" t="inlineStr">
        <is>
          <t>Método 2: Múltiplos de ARR del Modelo (Año 1)</t>
        </is>
      </c>
      <c r="B48" s="241" t="n"/>
      <c r="C48" s="241" t="n"/>
      <c r="D48" s="241" t="n"/>
      <c r="E48" s="241" t="n"/>
    </row>
    <row r="49" ht="18" customHeight="1">
      <c r="A49" s="242" t="inlineStr">
        <is>
          <t xml:space="preserve">  Valoración Pre-Money (Múltiplo × ARR Modelo A1)</t>
        </is>
      </c>
      <c r="C49" s="789">
        <f>C21*C36</f>
        <v/>
      </c>
      <c r="D49" s="66" t="inlineStr">
        <is>
          <t>USD</t>
        </is>
      </c>
      <c r="E49" s="251">
        <f>"= "&amp;C21&amp;"x  ×  ARR Modelo Año 1"</f>
        <v/>
      </c>
    </row>
    <row r="51">
      <c r="A51" s="240" t="inlineStr">
        <is>
          <t>Método 3: Promedio Ponderado</t>
        </is>
      </c>
      <c r="B51" s="241" t="n"/>
      <c r="C51" s="241" t="n"/>
      <c r="D51" s="241" t="n"/>
      <c r="E51" s="241" t="n"/>
    </row>
    <row r="52" ht="18" customHeight="1">
      <c r="A52" s="242" t="inlineStr">
        <is>
          <t xml:space="preserve">  Valoración Pre-Money (Promedio Ponderado)</t>
        </is>
      </c>
      <c r="C52" s="789">
        <f>(C46*C23)+(C49*(1-C23))</f>
        <v/>
      </c>
      <c r="D52" s="66" t="inlineStr">
        <is>
          <t>USD</t>
        </is>
      </c>
      <c r="E52" s="251">
        <f>"= "&amp;TEXT(C23,"0%")&amp;" Pipeline + "&amp;TEXT(1-C23,"0%")&amp;" Modelo"</f>
        <v/>
      </c>
    </row>
    <row r="54">
      <c r="A54" s="30" t="inlineStr">
        <is>
          <t>DEAL STRUCTURE</t>
        </is>
      </c>
      <c r="B54" s="2" t="n"/>
      <c r="C54" s="2" t="n"/>
      <c r="D54" s="2" t="n"/>
      <c r="E54" s="2" t="n"/>
    </row>
    <row r="55" ht="19" customHeight="1">
      <c r="A55" s="239" t="inlineStr">
        <is>
          <t xml:space="preserve">  Valoración Pre-Money</t>
        </is>
      </c>
      <c r="C55" s="790">
        <f>C52</f>
        <v/>
      </c>
      <c r="D55" s="66" t="inlineStr">
        <is>
          <t>USD</t>
        </is>
      </c>
    </row>
    <row r="56" ht="19" customHeight="1">
      <c r="A56" s="239" t="inlineStr">
        <is>
          <t xml:space="preserve">  Monto a levantar</t>
        </is>
      </c>
      <c r="C56" s="791">
        <f>C22</f>
        <v/>
      </c>
      <c r="D56" s="66" t="inlineStr">
        <is>
          <t>USD</t>
        </is>
      </c>
    </row>
    <row r="57" ht="19" customHeight="1">
      <c r="A57" s="239" t="inlineStr">
        <is>
          <t xml:space="preserve">  Valoración Post-Money</t>
        </is>
      </c>
      <c r="C57" s="790">
        <f>C55+C56</f>
        <v/>
      </c>
      <c r="D57" s="66" t="inlineStr">
        <is>
          <t>USD</t>
        </is>
      </c>
    </row>
    <row r="58" ht="19" customHeight="1">
      <c r="A58" s="257" t="inlineStr">
        <is>
          <t xml:space="preserve">  Dilución del fundador</t>
        </is>
      </c>
      <c r="C58" s="792">
        <f>C56/C57</f>
        <v/>
      </c>
      <c r="E58" s="259">
        <f>"El inversionista obtiene "&amp;ROUND(C58*100,1)&amp;"% de la compañía"</f>
        <v/>
      </c>
    </row>
    <row r="60">
      <c r="A60" s="232" t="inlineStr">
        <is>
          <t>TABLAS DE SENSIBILIDAD</t>
        </is>
      </c>
      <c r="B60" s="103" t="n"/>
      <c r="C60" s="103" t="n"/>
      <c r="D60" s="103" t="n"/>
      <c r="E60" s="103" t="n"/>
      <c r="F60" s="103" t="n"/>
      <c r="G60" s="103" t="n"/>
      <c r="H60" s="103" t="n"/>
      <c r="I60" s="103" t="n"/>
      <c r="J60" s="103" t="n"/>
      <c r="K60" s="103" t="n"/>
    </row>
    <row r="61">
      <c r="A61" s="263" t="inlineStr">
        <is>
          <t>Modifique las celdas amarillas de la sección "Variables de Entrada" (filas 6-20) para ver cómo cambian todas las tablas automáticamente.</t>
        </is>
      </c>
    </row>
    <row r="63">
      <c r="A63" s="260" t="inlineStr">
        <is>
          <t>TABLA 1: Valoración Pre-Money ($M)  —  Múltiplo ARR  vs.  % Conversión del Pipeline</t>
        </is>
      </c>
    </row>
    <row r="64">
      <c r="A64" s="261" t="inlineStr">
        <is>
          <t>Múltiplo ↓  /  Conversión →</t>
        </is>
      </c>
      <c r="C64" s="264" t="n">
        <v>0.3</v>
      </c>
      <c r="D64" s="264" t="n">
        <v>0.4</v>
      </c>
      <c r="E64" s="264" t="n">
        <v>0.5</v>
      </c>
      <c r="F64" s="265" t="n">
        <v>0.6</v>
      </c>
      <c r="G64" s="264" t="n">
        <v>0.7</v>
      </c>
      <c r="H64" s="264" t="n">
        <v>0.8</v>
      </c>
      <c r="I64" s="264" t="n">
        <v>1</v>
      </c>
    </row>
    <row r="65">
      <c r="A65" s="793" t="n">
        <v>0.5</v>
      </c>
      <c r="C65" s="794">
        <f>$A65*C$64*$C$26*$C$14*$C$15*$C$29*12/1000000</f>
        <v/>
      </c>
      <c r="D65" s="794">
        <f>$A65*D$64*$C$26*$C$14*$C$15*$C$29*12/1000000</f>
        <v/>
      </c>
      <c r="E65" s="794">
        <f>$A65*E$64*$C$26*$C$14*$C$15*$C$29*12/1000000</f>
        <v/>
      </c>
      <c r="F65" s="794">
        <f>$A65*F$64*$C$26*$C$14*$C$15*$C$29*12/1000000</f>
        <v/>
      </c>
      <c r="G65" s="794">
        <f>$A65*G$64*$C$26*$C$14*$C$15*$C$29*12/1000000</f>
        <v/>
      </c>
      <c r="H65" s="794">
        <f>$A65*H$64*$C$26*$C$14*$C$15*$C$29*12/1000000</f>
        <v/>
      </c>
      <c r="I65" s="794">
        <f>$A65*I$64*$C$26*$C$14*$C$15*$C$29*12/1000000</f>
        <v/>
      </c>
    </row>
    <row r="66">
      <c r="A66" s="793" t="n">
        <v>1</v>
      </c>
      <c r="C66" s="794">
        <f>$A66*C$64*$C$26*$C$14*$C$15*$C$29*12/1000000</f>
        <v/>
      </c>
      <c r="D66" s="794">
        <f>$A66*D$64*$C$26*$C$14*$C$15*$C$29*12/1000000</f>
        <v/>
      </c>
      <c r="E66" s="794">
        <f>$A66*E$64*$C$26*$C$14*$C$15*$C$29*12/1000000</f>
        <v/>
      </c>
      <c r="F66" s="794">
        <f>$A66*F$64*$C$26*$C$14*$C$15*$C$29*12/1000000</f>
        <v/>
      </c>
      <c r="G66" s="794">
        <f>$A66*G$64*$C$26*$C$14*$C$15*$C$29*12/1000000</f>
        <v/>
      </c>
      <c r="H66" s="794">
        <f>$A66*H$64*$C$26*$C$14*$C$15*$C$29*12/1000000</f>
        <v/>
      </c>
      <c r="I66" s="794">
        <f>$A66*I$64*$C$26*$C$14*$C$15*$C$29*12/1000000</f>
        <v/>
      </c>
    </row>
    <row r="67">
      <c r="A67" s="793" t="n">
        <v>1.5</v>
      </c>
      <c r="C67" s="794">
        <f>$A67*C$64*$C$26*$C$14*$C$15*$C$29*12/1000000</f>
        <v/>
      </c>
      <c r="D67" s="794">
        <f>$A67*D$64*$C$26*$C$14*$C$15*$C$29*12/1000000</f>
        <v/>
      </c>
      <c r="E67" s="794">
        <f>$A67*E$64*$C$26*$C$14*$C$15*$C$29*12/1000000</f>
        <v/>
      </c>
      <c r="F67" s="794">
        <f>$A67*F$64*$C$26*$C$14*$C$15*$C$29*12/1000000</f>
        <v/>
      </c>
      <c r="G67" s="794">
        <f>$A67*G$64*$C$26*$C$14*$C$15*$C$29*12/1000000</f>
        <v/>
      </c>
      <c r="H67" s="794">
        <f>$A67*H$64*$C$26*$C$14*$C$15*$C$29*12/1000000</f>
        <v/>
      </c>
      <c r="I67" s="794">
        <f>$A67*I$64*$C$26*$C$14*$C$15*$C$29*12/1000000</f>
        <v/>
      </c>
    </row>
    <row r="68">
      <c r="A68" s="793" t="n">
        <v>2</v>
      </c>
      <c r="C68" s="794">
        <f>$A68*C$64*$C$26*$C$14*$C$15*$C$29*12/1000000</f>
        <v/>
      </c>
      <c r="D68" s="794">
        <f>$A68*D$64*$C$26*$C$14*$C$15*$C$29*12/1000000</f>
        <v/>
      </c>
      <c r="E68" s="794">
        <f>$A68*E$64*$C$26*$C$14*$C$15*$C$29*12/1000000</f>
        <v/>
      </c>
      <c r="F68" s="795">
        <f>$A68*F$64*$C$26*$C$14*$C$15*$C$29*12/1000000</f>
        <v/>
      </c>
      <c r="G68" s="794">
        <f>$A68*G$64*$C$26*$C$14*$C$15*$C$29*12/1000000</f>
        <v/>
      </c>
      <c r="H68" s="794">
        <f>$A68*H$64*$C$26*$C$14*$C$15*$C$29*12/1000000</f>
        <v/>
      </c>
      <c r="I68" s="794">
        <f>$A68*I$64*$C$26*$C$14*$C$15*$C$29*12/1000000</f>
        <v/>
      </c>
    </row>
    <row r="69">
      <c r="A69" s="793" t="n">
        <v>3</v>
      </c>
      <c r="C69" s="794">
        <f>$A69*C$64*$C$26*$C$14*$C$15*$C$29*12/1000000</f>
        <v/>
      </c>
      <c r="D69" s="794">
        <f>$A69*D$64*$C$26*$C$14*$C$15*$C$29*12/1000000</f>
        <v/>
      </c>
      <c r="E69" s="794">
        <f>$A69*E$64*$C$26*$C$14*$C$15*$C$29*12/1000000</f>
        <v/>
      </c>
      <c r="F69" s="794">
        <f>$A69*F$64*$C$26*$C$14*$C$15*$C$29*12/1000000</f>
        <v/>
      </c>
      <c r="G69" s="794">
        <f>$A69*G$64*$C$26*$C$14*$C$15*$C$29*12/1000000</f>
        <v/>
      </c>
      <c r="H69" s="794">
        <f>$A69*H$64*$C$26*$C$14*$C$15*$C$29*12/1000000</f>
        <v/>
      </c>
      <c r="I69" s="794">
        <f>$A69*I$64*$C$26*$C$14*$C$15*$C$29*12/1000000</f>
        <v/>
      </c>
    </row>
    <row r="70">
      <c r="A70" s="793" t="n">
        <v>5</v>
      </c>
      <c r="C70" s="794">
        <f>$A70*C$64*$C$26*$C$14*$C$15*$C$29*12/1000000</f>
        <v/>
      </c>
      <c r="D70" s="794">
        <f>$A70*D$64*$C$26*$C$14*$C$15*$C$29*12/1000000</f>
        <v/>
      </c>
      <c r="E70" s="794">
        <f>$A70*E$64*$C$26*$C$14*$C$15*$C$29*12/1000000</f>
        <v/>
      </c>
      <c r="F70" s="794">
        <f>$A70*F$64*$C$26*$C$14*$C$15*$C$29*12/1000000</f>
        <v/>
      </c>
      <c r="G70" s="794">
        <f>$A70*G$64*$C$26*$C$14*$C$15*$C$29*12/1000000</f>
        <v/>
      </c>
      <c r="H70" s="794">
        <f>$A70*H$64*$C$26*$C$14*$C$15*$C$29*12/1000000</f>
        <v/>
      </c>
      <c r="I70" s="794">
        <f>$A70*I$64*$C$26*$C$14*$C$15*$C$29*12/1000000</f>
        <v/>
      </c>
    </row>
    <row r="71">
      <c r="A71" s="793" t="n">
        <v>8</v>
      </c>
      <c r="C71" s="794">
        <f>$A71*C$64*$C$26*$C$14*$C$15*$C$29*12/1000000</f>
        <v/>
      </c>
      <c r="D71" s="794">
        <f>$A71*D$64*$C$26*$C$14*$C$15*$C$29*12/1000000</f>
        <v/>
      </c>
      <c r="E71" s="794">
        <f>$A71*E$64*$C$26*$C$14*$C$15*$C$29*12/1000000</f>
        <v/>
      </c>
      <c r="F71" s="794">
        <f>$A71*F$64*$C$26*$C$14*$C$15*$C$29*12/1000000</f>
        <v/>
      </c>
      <c r="G71" s="794">
        <f>$A71*G$64*$C$26*$C$14*$C$15*$C$29*12/1000000</f>
        <v/>
      </c>
      <c r="H71" s="794">
        <f>$A71*H$64*$C$26*$C$14*$C$15*$C$29*12/1000000</f>
        <v/>
      </c>
      <c r="I71" s="794">
        <f>$A71*I$64*$C$26*$C$14*$C$15*$C$29*12/1000000</f>
        <v/>
      </c>
    </row>
    <row r="72">
      <c r="A72" s="286" t="inlineStr">
        <is>
          <t xml:space="preserve">  Rango pre-seed LATAM típico: 0.5x-2x ARR | Con tracción/anchor: 1x-3x | Con expansión USA: 3x-8x</t>
        </is>
      </c>
    </row>
    <row r="74">
      <c r="A74" s="260" t="inlineStr">
        <is>
          <t>TABLA 2: Dilución del Fundador (%)  —  Valoración Pre-Money  vs.  Monto Levantado</t>
        </is>
      </c>
    </row>
    <row r="75">
      <c r="A75" s="261" t="inlineStr">
        <is>
          <t>Pre-Money ($M) ↓  /  Raise ($K) →</t>
        </is>
      </c>
      <c r="C75" s="796" t="n">
        <v>300000</v>
      </c>
      <c r="D75" s="796" t="n">
        <v>500000</v>
      </c>
      <c r="E75" s="797" t="n">
        <v>750000</v>
      </c>
      <c r="F75" s="796" t="n">
        <v>1000000</v>
      </c>
      <c r="G75" s="796" t="n">
        <v>1500000</v>
      </c>
      <c r="H75" s="796" t="n">
        <v>2000000</v>
      </c>
      <c r="I75" s="796" t="n">
        <v>3000000</v>
      </c>
    </row>
    <row r="76">
      <c r="A76" s="798" t="n">
        <v>2000000</v>
      </c>
      <c r="C76" s="799">
        <f>C$75/($A76+C$75)</f>
        <v/>
      </c>
      <c r="D76" s="799">
        <f>D$75/($A76+D$75)</f>
        <v/>
      </c>
      <c r="E76" s="799">
        <f>E$75/($A76+E$75)</f>
        <v/>
      </c>
      <c r="F76" s="799">
        <f>F$75/($A76+F$75)</f>
        <v/>
      </c>
      <c r="G76" s="799">
        <f>G$75/($A76+G$75)</f>
        <v/>
      </c>
      <c r="H76" s="799">
        <f>H$75/($A76+H$75)</f>
        <v/>
      </c>
      <c r="I76" s="799">
        <f>I$75/($A76+I$75)</f>
        <v/>
      </c>
    </row>
    <row r="77">
      <c r="A77" s="798" t="n">
        <v>3000000</v>
      </c>
      <c r="C77" s="799">
        <f>C$75/($A77+C$75)</f>
        <v/>
      </c>
      <c r="D77" s="799">
        <f>D$75/($A77+D$75)</f>
        <v/>
      </c>
      <c r="E77" s="799">
        <f>E$75/($A77+E$75)</f>
        <v/>
      </c>
      <c r="F77" s="799">
        <f>F$75/($A77+F$75)</f>
        <v/>
      </c>
      <c r="G77" s="799">
        <f>G$75/($A77+G$75)</f>
        <v/>
      </c>
      <c r="H77" s="799">
        <f>H$75/($A77+H$75)</f>
        <v/>
      </c>
      <c r="I77" s="799">
        <f>I$75/($A77+I$75)</f>
        <v/>
      </c>
    </row>
    <row r="78">
      <c r="A78" s="798" t="n">
        <v>4000000</v>
      </c>
      <c r="C78" s="799">
        <f>C$75/($A78+C$75)</f>
        <v/>
      </c>
      <c r="D78" s="799">
        <f>D$75/($A78+D$75)</f>
        <v/>
      </c>
      <c r="E78" s="799">
        <f>E$75/($A78+E$75)</f>
        <v/>
      </c>
      <c r="F78" s="799">
        <f>F$75/($A78+F$75)</f>
        <v/>
      </c>
      <c r="G78" s="799">
        <f>G$75/($A78+G$75)</f>
        <v/>
      </c>
      <c r="H78" s="799">
        <f>H$75/($A78+H$75)</f>
        <v/>
      </c>
      <c r="I78" s="799">
        <f>I$75/($A78+I$75)</f>
        <v/>
      </c>
    </row>
    <row r="79">
      <c r="A79" s="800" t="n">
        <v>5000000</v>
      </c>
      <c r="C79" s="799">
        <f>C$75/($A79+C$75)</f>
        <v/>
      </c>
      <c r="D79" s="799">
        <f>D$75/($A79+D$75)</f>
        <v/>
      </c>
      <c r="E79" s="801">
        <f>E$75/($A79+E$75)</f>
        <v/>
      </c>
      <c r="F79" s="799">
        <f>F$75/($A79+F$75)</f>
        <v/>
      </c>
      <c r="G79" s="799">
        <f>G$75/($A79+G$75)</f>
        <v/>
      </c>
      <c r="H79" s="799">
        <f>H$75/($A79+H$75)</f>
        <v/>
      </c>
      <c r="I79" s="799">
        <f>I$75/($A79+I$75)</f>
        <v/>
      </c>
    </row>
    <row r="80">
      <c r="A80" s="798" t="n">
        <v>6000000</v>
      </c>
      <c r="C80" s="799">
        <f>C$75/($A80+C$75)</f>
        <v/>
      </c>
      <c r="D80" s="799">
        <f>D$75/($A80+D$75)</f>
        <v/>
      </c>
      <c r="E80" s="799">
        <f>E$75/($A80+E$75)</f>
        <v/>
      </c>
      <c r="F80" s="799">
        <f>F$75/($A80+F$75)</f>
        <v/>
      </c>
      <c r="G80" s="799">
        <f>G$75/($A80+G$75)</f>
        <v/>
      </c>
      <c r="H80" s="799">
        <f>H$75/($A80+H$75)</f>
        <v/>
      </c>
      <c r="I80" s="799">
        <f>I$75/($A80+I$75)</f>
        <v/>
      </c>
    </row>
    <row r="81">
      <c r="A81" s="798" t="n">
        <v>8000000</v>
      </c>
      <c r="C81" s="799">
        <f>C$75/($A81+C$75)</f>
        <v/>
      </c>
      <c r="D81" s="799">
        <f>D$75/($A81+D$75)</f>
        <v/>
      </c>
      <c r="E81" s="799">
        <f>E$75/($A81+E$75)</f>
        <v/>
      </c>
      <c r="F81" s="799">
        <f>F$75/($A81+F$75)</f>
        <v/>
      </c>
      <c r="G81" s="799">
        <f>G$75/($A81+G$75)</f>
        <v/>
      </c>
      <c r="H81" s="799">
        <f>H$75/($A81+H$75)</f>
        <v/>
      </c>
      <c r="I81" s="799">
        <f>I$75/($A81+I$75)</f>
        <v/>
      </c>
    </row>
    <row r="82">
      <c r="A82" s="798" t="n">
        <v>10000000</v>
      </c>
      <c r="C82" s="799">
        <f>C$75/($A82+C$75)</f>
        <v/>
      </c>
      <c r="D82" s="799">
        <f>D$75/($A82+D$75)</f>
        <v/>
      </c>
      <c r="E82" s="799">
        <f>E$75/($A82+E$75)</f>
        <v/>
      </c>
      <c r="F82" s="799">
        <f>F$75/($A82+F$75)</f>
        <v/>
      </c>
      <c r="G82" s="799">
        <f>G$75/($A82+G$75)</f>
        <v/>
      </c>
      <c r="H82" s="799">
        <f>H$75/($A82+H$75)</f>
        <v/>
      </c>
      <c r="I82" s="799">
        <f>I$75/($A82+I$75)</f>
        <v/>
      </c>
    </row>
    <row r="85">
      <c r="A85" s="260" t="inlineStr">
        <is>
          <t>TABLA 3: Retorno del Inversionista (x)  —  Valoración Pre-Money vs. Exit Value a 5 años</t>
        </is>
      </c>
    </row>
    <row r="86">
      <c r="A86" s="261" t="inlineStr">
        <is>
          <t>Pre-Money ($M) ↓  /  Exit ($M) →</t>
        </is>
      </c>
      <c r="C86" s="802" t="n">
        <v>20000000</v>
      </c>
      <c r="D86" s="802" t="n">
        <v>40000000</v>
      </c>
      <c r="E86" s="802" t="n">
        <v>60000000</v>
      </c>
      <c r="F86" s="803" t="n">
        <v>100000000</v>
      </c>
      <c r="G86" s="802" t="n">
        <v>150000000</v>
      </c>
      <c r="H86" s="802" t="n">
        <v>250000000</v>
      </c>
      <c r="I86" s="802" t="n">
        <v>500000000</v>
      </c>
    </row>
    <row r="87">
      <c r="A87" s="798" t="n">
        <v>2000000</v>
      </c>
      <c r="C87" s="804">
        <f>(C$75/($A87+C$75))*C$86/C$75</f>
        <v/>
      </c>
      <c r="D87" s="804">
        <f>(D$75/($A87+D$75))*D$86/D$75</f>
        <v/>
      </c>
      <c r="E87" s="804">
        <f>(E$75/($A87+E$75))*E$86/E$75</f>
        <v/>
      </c>
      <c r="F87" s="804">
        <f>(F$75/($A87+F$75))*F$86/F$75</f>
        <v/>
      </c>
      <c r="G87" s="804">
        <f>(G$75/($A87+G$75))*G$86/G$75</f>
        <v/>
      </c>
      <c r="H87" s="804">
        <f>(H$75/($A87+H$75))*H$86/H$75</f>
        <v/>
      </c>
      <c r="I87" s="804">
        <f>(I$75/($A87+I$75))*I$86/I$75</f>
        <v/>
      </c>
    </row>
    <row r="88">
      <c r="A88" s="798" t="n">
        <v>3000000</v>
      </c>
      <c r="C88" s="804">
        <f>(C$75/($A88+C$75))*C$86/C$75</f>
        <v/>
      </c>
      <c r="D88" s="804">
        <f>(D$75/($A88+D$75))*D$86/D$75</f>
        <v/>
      </c>
      <c r="E88" s="804">
        <f>(E$75/($A88+E$75))*E$86/E$75</f>
        <v/>
      </c>
      <c r="F88" s="804">
        <f>(F$75/($A88+F$75))*F$86/F$75</f>
        <v/>
      </c>
      <c r="G88" s="804">
        <f>(G$75/($A88+G$75))*G$86/G$75</f>
        <v/>
      </c>
      <c r="H88" s="804">
        <f>(H$75/($A88+H$75))*H$86/H$75</f>
        <v/>
      </c>
      <c r="I88" s="804">
        <f>(I$75/($A88+I$75))*I$86/I$75</f>
        <v/>
      </c>
    </row>
    <row r="89">
      <c r="A89" s="798" t="n">
        <v>4000000</v>
      </c>
      <c r="C89" s="804">
        <f>(C$75/($A89+C$75))*C$86/C$75</f>
        <v/>
      </c>
      <c r="D89" s="804">
        <f>(D$75/($A89+D$75))*D$86/D$75</f>
        <v/>
      </c>
      <c r="E89" s="804">
        <f>(E$75/($A89+E$75))*E$86/E$75</f>
        <v/>
      </c>
      <c r="F89" s="804">
        <f>(F$75/($A89+F$75))*F$86/F$75</f>
        <v/>
      </c>
      <c r="G89" s="804">
        <f>(G$75/($A89+G$75))*G$86/G$75</f>
        <v/>
      </c>
      <c r="H89" s="804">
        <f>(H$75/($A89+H$75))*H$86/H$75</f>
        <v/>
      </c>
      <c r="I89" s="804">
        <f>(I$75/($A89+I$75))*I$86/I$75</f>
        <v/>
      </c>
    </row>
    <row r="90">
      <c r="A90" s="800" t="n">
        <v>5000000</v>
      </c>
      <c r="C90" s="804">
        <f>(C$75/($A90+C$75))*C$86/C$75</f>
        <v/>
      </c>
      <c r="D90" s="804">
        <f>(D$75/($A90+D$75))*D$86/D$75</f>
        <v/>
      </c>
      <c r="E90" s="804">
        <f>(E$75/($A90+E$75))*E$86/E$75</f>
        <v/>
      </c>
      <c r="F90" s="805">
        <f>(F$75/($A90+F$75))*F$86/F$75</f>
        <v/>
      </c>
      <c r="G90" s="804">
        <f>(G$75/($A90+G$75))*G$86/G$75</f>
        <v/>
      </c>
      <c r="H90" s="804">
        <f>(H$75/($A90+H$75))*H$86/H$75</f>
        <v/>
      </c>
      <c r="I90" s="804">
        <f>(I$75/($A90+I$75))*I$86/I$75</f>
        <v/>
      </c>
    </row>
    <row r="91">
      <c r="A91" s="798" t="n">
        <v>6000000</v>
      </c>
      <c r="C91" s="804">
        <f>(C$75/($A91+C$75))*C$86/C$75</f>
        <v/>
      </c>
      <c r="D91" s="804">
        <f>(D$75/($A91+D$75))*D$86/D$75</f>
        <v/>
      </c>
      <c r="E91" s="804">
        <f>(E$75/($A91+E$75))*E$86/E$75</f>
        <v/>
      </c>
      <c r="F91" s="804">
        <f>(F$75/($A91+F$75))*F$86/F$75</f>
        <v/>
      </c>
      <c r="G91" s="804">
        <f>(G$75/($A91+G$75))*G$86/G$75</f>
        <v/>
      </c>
      <c r="H91" s="804">
        <f>(H$75/($A91+H$75))*H$86/H$75</f>
        <v/>
      </c>
      <c r="I91" s="804">
        <f>(I$75/($A91+I$75))*I$86/I$75</f>
        <v/>
      </c>
    </row>
    <row r="92">
      <c r="A92" s="798" t="n">
        <v>8000000</v>
      </c>
      <c r="C92" s="804">
        <f>(C$75/($A92+C$75))*C$86/C$75</f>
        <v/>
      </c>
      <c r="D92" s="804">
        <f>(D$75/($A92+D$75))*D$86/D$75</f>
        <v/>
      </c>
      <c r="E92" s="804">
        <f>(E$75/($A92+E$75))*E$86/E$75</f>
        <v/>
      </c>
      <c r="F92" s="804">
        <f>(F$75/($A92+F$75))*F$86/F$75</f>
        <v/>
      </c>
      <c r="G92" s="804">
        <f>(G$75/($A92+G$75))*G$86/G$75</f>
        <v/>
      </c>
      <c r="H92" s="804">
        <f>(H$75/($A92+H$75))*H$86/H$75</f>
        <v/>
      </c>
      <c r="I92" s="804">
        <f>(I$75/($A92+I$75))*I$86/I$75</f>
        <v/>
      </c>
    </row>
    <row r="93">
      <c r="A93" s="798" t="n">
        <v>10000000</v>
      </c>
      <c r="C93" s="804">
        <f>(C$75/($A93+C$75))*C$86/C$75</f>
        <v/>
      </c>
      <c r="D93" s="804">
        <f>(D$75/($A93+D$75))*D$86/D$75</f>
        <v/>
      </c>
      <c r="E93" s="804">
        <f>(E$75/($A93+E$75))*E$86/E$75</f>
        <v/>
      </c>
      <c r="F93" s="804">
        <f>(F$75/($A93+F$75))*F$86/F$75</f>
        <v/>
      </c>
      <c r="G93" s="804">
        <f>(G$75/($A93+G$75))*G$86/G$75</f>
        <v/>
      </c>
      <c r="H93" s="804">
        <f>(H$75/($A93+H$75))*H$86/H$75</f>
        <v/>
      </c>
      <c r="I93" s="804">
        <f>(I$75/($A93+I$75))*I$86/I$75</f>
        <v/>
      </c>
    </row>
    <row r="94">
      <c r="A94" s="286" t="inlineStr">
        <is>
          <t xml:space="preserve">  Exit Value estimado: ARR Año 5 del pipeline ($12.3M) × múltiplo de salida (5x-10x) = $60M-$120M. Con expansión USA: $150M-$500M</t>
        </is>
      </c>
    </row>
    <row r="96">
      <c r="A96" s="279" t="inlineStr">
        <is>
          <t>NOTAS</t>
        </is>
      </c>
    </row>
    <row r="97">
      <c r="A97" s="262" t="inlineStr">
        <is>
          <t>• Celda amarilla = caso base (parámetros actuales)</t>
        </is>
      </c>
    </row>
    <row r="98">
      <c r="A98" s="262" t="inlineStr">
        <is>
          <t>• Tabla 1: Varía múltiplo ARR (0.5x-8x) y % de conversión del pipeline (30%-100%). Valores en millones USD.</t>
        </is>
      </c>
    </row>
    <row r="99">
      <c r="A99" s="262" t="inlineStr">
        <is>
          <t>• Tabla 2: Varía valoración pre-money ($2M-$10M) y monto a levantar ($300K-$3M). Muestra dilución del fundador.</t>
        </is>
      </c>
    </row>
    <row r="100">
      <c r="A100" s="262" t="inlineStr">
        <is>
          <t>• Tabla 3: Retorno del inversionista (múltiplo de su inversión) según valoración pre-money y exit value a 5 años. Asume raise de $750K.</t>
        </is>
      </c>
    </row>
    <row r="101">
      <c r="A101" s="280" t="inlineStr">
        <is>
          <t>• Para modificar cualquier variable, edite las celdas amarillas en la sección "Variables de Entrada" (filas 6-20). Todas las tablas se recalculan automáticamente.</t>
        </is>
      </c>
    </row>
  </sheetData>
  <conditionalFormatting sqref="C65:I71">
    <cfRule type="colorScale" priority="1">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sqref="C76:I82">
    <cfRule type="colorScale" priority="2">
      <colorScale>
        <cfvo type="min"/>
        <cfvo type="percentile" val="50"/>
        <cfvo type="max"/>
        <color rgb="FF63BE7B"/>
        <color rgb="FFFFEB84"/>
        <color rgb="FFF8696B"/>
      </colorScale>
    </cfRule>
    <cfRule type="colorScale" priority="5">
      <colorScale>
        <cfvo type="min"/>
        <cfvo type="percentile" val="50"/>
        <cfvo type="max"/>
        <color rgb="FF63BE7B"/>
        <color rgb="FFFFEB84"/>
        <color rgb="FFF8696B"/>
      </colorScale>
    </cfRule>
  </conditionalFormatting>
  <conditionalFormatting sqref="C87:I93">
    <cfRule type="colorScale" priority="3">
      <colorScale>
        <cfvo type="min"/>
        <cfvo type="percentile" val="50"/>
        <cfvo type="max"/>
        <color rgb="FFF8696B"/>
        <color rgb="FFFFEB84"/>
        <color rgb="FF63BE7B"/>
      </colorScale>
    </cfRule>
    <cfRule type="colorScale" priority="6">
      <colorScale>
        <cfvo type="min"/>
        <cfvo type="percentile" val="50"/>
        <cfvo type="max"/>
        <color rgb="FFF8696B"/>
        <color rgb="FFFFEB84"/>
        <color rgb="FF63BE7B"/>
      </colorScale>
    </cfRule>
  </conditionalFormatting>
  <pageMargins left="0.7" right="0.7" top="0.75" bottom="0.75" header="0.3" footer="0.3"/>
  <pageSetup orientation="portrait" horizontalDpi="0" verticalDpi="0"/>
  <legacyDrawing xmlns:r="http://schemas.openxmlformats.org/officeDocument/2006/relationships" r:id="anysvml"/>
</worksheet>
</file>

<file path=xl/worksheets/sheet15.xml><?xml version="1.0" encoding="utf-8"?>
<worksheet xmlns="http://schemas.openxmlformats.org/spreadsheetml/2006/main">
  <sheetPr>
    <tabColor rgb="FFA5A5A5"/>
    <outlinePr summaryBelow="1" summaryRight="1"/>
    <pageSetUpPr/>
  </sheetPr>
  <dimension ref="A1:A329"/>
  <sheetViews>
    <sheetView topLeftCell="A128" workbookViewId="0">
      <selection activeCell="A1" sqref="A1"/>
    </sheetView>
  </sheetViews>
  <sheetFormatPr baseColWidth="10" defaultRowHeight="16"/>
  <cols>
    <col width="116.6640625" customWidth="1" min="1" max="1"/>
  </cols>
  <sheetData>
    <row r="1" ht="22" customHeight="1">
      <c r="A1" s="316" t="inlineStr">
        <is>
          <t>ANEXOS TÉCNICOS — DOCUMENTACIÓN DEL MODELO FINANCIERO SUPER MESEROS</t>
        </is>
      </c>
    </row>
    <row r="2">
      <c r="A2" s="315" t="inlineStr">
        <is>
          <t>Detalle técnico de fórmulas, lógica de construcción y decisiones del usuario. Complemento de la hoja Documentación.</t>
        </is>
      </c>
    </row>
    <row r="4" ht="18" customHeight="1">
      <c r="A4" s="317" t="inlineStr">
        <is>
          <t>ANEXO 1: CONTEXTO Y PROBLEMA RESUELTO</t>
        </is>
      </c>
    </row>
    <row r="6">
      <c r="A6" s="60" t="inlineStr">
        <is>
          <t>El modelo financiero original tenía un defecto estructural: al cambiar de escenario Base a Pesimista, los ingresos se reducían proporcionalmente (menor onboarding, mayor churn, menor ARPU), pero los OPEX fijos del equipo permanecían idénticos en $32,500/mes para los 3 escenarios.</t>
        </is>
      </c>
    </row>
    <row r="8">
      <c r="A8" s="60" t="inlineStr">
        <is>
          <t>Causa raíz: Las fórmulas de OPEX (filas 6-12) leían directamente de Supuestos Generales B95:B101 (Detalle OPEX), que no estaban conectadas al selector de escenario. Adicionalmente, Escenarios!D23 tenía un valor de $15,000 etiquetado como 'OPEX base mensual' pero NINGUNA fórmula lo referenciaba — era un dato huérfano.</t>
        </is>
      </c>
    </row>
    <row r="10">
      <c r="A10" s="60" t="inlineStr">
        <is>
          <t>Segundo problema: Los step-ups de OPEX (incremento del 15% cada 6 meses en Pesimista) se aplicaban mecánicamente sin importar si el negocio generaba ingresos suficientes para cubrirlos. En Pesimista, el OPEX crecía 3.2× (de $22,950 a $72,592/mes) mientras los ingresos apenas sostenían la operación, produciendo una Utilidad Neta de -$156K al cierre.</t>
        </is>
      </c>
    </row>
    <row r="12">
      <c r="A12" s="306" t="inlineStr">
        <is>
          <t>Solución implementada: 5 mecanismos de control de costos documentados en los siguientes anexos.</t>
        </is>
      </c>
    </row>
    <row r="14" ht="18" customHeight="1">
      <c r="A14" s="317" t="inlineStr">
        <is>
          <t>ANEXO 2: FACTOR ESCALA OPEX POR ESCENARIO</t>
        </is>
      </c>
    </row>
    <row r="16">
      <c r="A16" s="60" t="inlineStr">
        <is>
          <t>Concepto: En lugar de que todos los escenarios operen con el mismo OPEX base ($32,500/mes), se introdujo un Factor escala que multiplica el OPEX base según el escenario seleccionado.</t>
        </is>
      </c>
    </row>
    <row r="18">
      <c r="A18" s="306" t="inlineStr">
        <is>
          <t>Lógica del factor:</t>
        </is>
      </c>
    </row>
    <row r="19">
      <c r="A19" s="60" t="inlineStr">
        <is>
          <t xml:space="preserve">  • Pesimista: $15,000 / $32,500 ≈ 0.46 → Opera con el 46% del equipo completo (lean startup)</t>
        </is>
      </c>
    </row>
    <row r="20">
      <c r="A20" s="60" t="inlineStr">
        <is>
          <t xml:space="preserve">  • Base: $32,500 / $32,500 = 1.00 → Equipo completo como está parametrizado</t>
        </is>
      </c>
    </row>
    <row r="21">
      <c r="A21" s="60" t="inlineStr">
        <is>
          <t xml:space="preserve">  • Optimista: $65,000 / $32,500 = 2.00 → Doble capacidad de equipo para mayor escala</t>
        </is>
      </c>
    </row>
    <row r="23">
      <c r="A23" s="308" t="inlineStr">
        <is>
          <t>FÓRMULAS IMPLEMENTADAS:</t>
        </is>
      </c>
    </row>
    <row r="25">
      <c r="A25" s="309" t="inlineStr">
        <is>
          <t xml:space="preserve">  Escenarios!A23 = '  Factor escala OPEX fijo' (renombrado de 'OPEX base mensual')</t>
        </is>
      </c>
    </row>
    <row r="26">
      <c r="A26" s="309" t="inlineStr">
        <is>
          <t xml:space="preserve">  Escenarios!D23:F23 = Valores del factor: 0.46 | 1 | 2</t>
        </is>
      </c>
    </row>
    <row r="28">
      <c r="A28" s="309" t="inlineStr">
        <is>
          <t xml:space="preserve">  Supuestos Generales!B104 = =CHOOSE(Escenarios!$B$4, Escenarios!$D$23, Escenarios!$E$23, Escenarios!$F$23)</t>
        </is>
      </c>
    </row>
    <row r="29">
      <c r="A29" s="310" t="inlineStr">
        <is>
          <t xml:space="preserve">    Esta celda es el puente: lee el selector de escenario (B4) y devuelve el factor correspondiente.</t>
        </is>
      </c>
    </row>
    <row r="31">
      <c r="A31" s="309" t="inlineStr">
        <is>
          <t xml:space="preserve">  OPEX!B6 (y filas 7-12, columnas B:BI) — fórmula para cada línea OPEX:</t>
        </is>
      </c>
    </row>
    <row r="32">
      <c r="A32" s="311" t="inlineStr">
        <is>
          <t xml:space="preserve">    ANTES:  ='Supuestos Generales'!$B$95 * (1+'Supuestos Generales'!$B$105) ^ INT((B$3-1)/6)</t>
        </is>
      </c>
    </row>
    <row r="33">
      <c r="A33" s="309" t="inlineStr">
        <is>
          <t xml:space="preserve">    DESPUÉS: ='Supuestos Generales'!$B$95 * 'Supuestos Generales'!$B$104 * (1+'Supuestos Generales'!$B$105) ^ B$20</t>
        </is>
      </c>
    </row>
    <row r="34">
      <c r="A34" s="312" t="inlineStr">
        <is>
          <t xml:space="preserve">    Cambios: (a) Se agregó multiplicación por $B$104 (factor escala). (b) El exponente cambió de INT((B$3-1)/6) a B$20 (ver Anexo 3).</t>
        </is>
      </c>
    </row>
    <row r="36">
      <c r="A36" s="60" t="inlineStr">
        <is>
          <t xml:space="preserve">  Donde B95-B101 son los montos base por línea de OPEX:</t>
        </is>
      </c>
    </row>
    <row r="37">
      <c r="A37" s="60" t="inlineStr">
        <is>
          <t xml:space="preserve">    B95 = Eq. Producto: $12,000</t>
        </is>
      </c>
    </row>
    <row r="38">
      <c r="A38" s="60" t="inlineStr">
        <is>
          <t xml:space="preserve">    B96 = Eq. Analítica: $5,000</t>
        </is>
      </c>
    </row>
    <row r="39">
      <c r="A39" s="60" t="inlineStr">
        <is>
          <t xml:space="preserve">    B97 = Eq. Operaciones: $4,000</t>
        </is>
      </c>
    </row>
    <row r="40">
      <c r="A40" s="60" t="inlineStr">
        <is>
          <t xml:space="preserve">    B98 = Eq. Ventas: $4,000</t>
        </is>
      </c>
    </row>
    <row r="41">
      <c r="A41" s="60" t="inlineStr">
        <is>
          <t xml:space="preserve">    B99 = Administración: $3,000</t>
        </is>
      </c>
    </row>
    <row r="42">
      <c r="A42" s="60" t="inlineStr">
        <is>
          <t xml:space="preserve">    B100 = Marketing: $2,500</t>
        </is>
      </c>
    </row>
    <row r="43">
      <c r="A43" s="60" t="inlineStr">
        <is>
          <t xml:space="preserve">    B101 = Varios: $2,000</t>
        </is>
      </c>
    </row>
    <row r="44">
      <c r="A44" s="306" t="inlineStr">
        <is>
          <t xml:space="preserve">    TOTAL: $32,500/mes (OPEX base completo)</t>
        </is>
      </c>
    </row>
    <row r="46" ht="18" customHeight="1">
      <c r="A46" s="317" t="inlineStr">
        <is>
          <t>ANEXO 3: STEP-UP DE OPEX CONDICIONAL A EBITDA POSITIVO</t>
        </is>
      </c>
    </row>
    <row r="48">
      <c r="A48" s="60" t="inlineStr">
        <is>
          <t>Concepto: El OPEX del equipo se incrementa periódicamente (15% semestral en Pesimista, 10% en Base, 8% en Optimista), pero SOLO si el negocio es rentable. Si el EBITDA del semestre anterior fue negativo, el OPEX se congela en su nivel actual.</t>
        </is>
      </c>
    </row>
    <row r="50">
      <c r="A50" s="308" t="inlineStr">
        <is>
          <t>ARQUITECTURA DE FÓRMULAS (3 filas auxiliares en hoja OPEX):</t>
        </is>
      </c>
    </row>
    <row r="52">
      <c r="A52" s="306" t="inlineStr">
        <is>
          <t xml:space="preserve">  OPEX!Fila 19 — 'Periodo semestral' (informativo):</t>
        </is>
      </c>
    </row>
    <row r="53">
      <c r="A53" s="309" t="inlineStr">
        <is>
          <t xml:space="preserve">    B19:BI19 = =INT((B$3-1)/6)+1</t>
        </is>
      </c>
    </row>
    <row r="54">
      <c r="A54" s="312" t="inlineStr">
        <is>
          <t xml:space="preserve">    Retorna 1 para meses 1-6, 2 para meses 7-12, etc. Sirve para detectar cambio de semestre.</t>
        </is>
      </c>
    </row>
    <row r="56">
      <c r="A56" s="306" t="inlineStr">
        <is>
          <t xml:space="preserve">  OPEX!Fila 20 — 'Step-ups acumulados (condicional)' ← FÓRMULA CLAVE:</t>
        </is>
      </c>
    </row>
    <row r="57">
      <c r="A57" s="309" t="inlineStr">
        <is>
          <t xml:space="preserve">    B20 = 0  (hardcoded: mes 1 siempre tiene 0 step-ups)</t>
        </is>
      </c>
    </row>
    <row r="58">
      <c r="A58" s="309" t="inlineStr">
        <is>
          <t xml:space="preserve">    C20:BI20 = =IF(C19&gt;B19, IF('Estados Financieros'!B22&gt;0, B20+1, B20), B20)</t>
        </is>
      </c>
    </row>
    <row r="60">
      <c r="A60" s="306" t="inlineStr">
        <is>
          <t xml:space="preserve">    Desglose lógico de la fórmula (ejemplo para celda C20, mes 2):</t>
        </is>
      </c>
    </row>
    <row r="61">
      <c r="A61" s="60" t="inlineStr">
        <is>
          <t xml:space="preserve">      C19&gt;B19  → ¿Cambiamos de semestre? (periodo semestral del mes actual &gt; mes anterior)</t>
        </is>
      </c>
    </row>
    <row r="62">
      <c r="A62" s="60" t="inlineStr">
        <is>
          <t xml:space="preserve">        SI (entramos a nuevo semestre):</t>
        </is>
      </c>
    </row>
    <row r="63">
      <c r="A63" s="60" t="inlineStr">
        <is>
          <t xml:space="preserve">          'Estados Financieros'!B22&gt;0  → ¿El EBITDA del mes ANTERIOR fue positivo?</t>
        </is>
      </c>
    </row>
    <row r="64">
      <c r="A64" s="60" t="inlineStr">
        <is>
          <t xml:space="preserve">            SI (EBITDA positivo): B20+1 → Incrementar contador de step-ups en 1</t>
        </is>
      </c>
    </row>
    <row r="65">
      <c r="A65" s="60" t="inlineStr">
        <is>
          <t xml:space="preserve">            NO (EBITDA negativo): B20 → Mantener mismo nivel (OPEX congelado)</t>
        </is>
      </c>
    </row>
    <row r="66">
      <c r="A66" s="60" t="inlineStr">
        <is>
          <t xml:space="preserve">        NO (mismo semestre): B20 → Arrastrar el conteo del mes anterior</t>
        </is>
      </c>
    </row>
    <row r="68">
      <c r="A68" s="306" t="inlineStr">
        <is>
          <t xml:space="preserve">  OPEX!Fila 18 — 'Multiplicador aplicado' (informativo):</t>
        </is>
      </c>
    </row>
    <row r="69">
      <c r="A69" s="309" t="inlineStr">
        <is>
          <t xml:space="preserve">    B18:BI18 = =(1+'Supuestos Generales'!$B$105)^B$20</t>
        </is>
      </c>
    </row>
    <row r="70">
      <c r="A70" s="312" t="inlineStr">
        <is>
          <t xml:space="preserve">    Muestra el multiplicador efectivo. Ej: 0 step-ups = 1.00×, 3 step-ups al 10% = 1.331×.</t>
        </is>
      </c>
    </row>
    <row r="72">
      <c r="A72" s="308" t="inlineStr">
        <is>
          <t>POR QUÉ NO HAY CIRCULARIDAD:</t>
        </is>
      </c>
    </row>
    <row r="73">
      <c r="A73" s="60" t="inlineStr">
        <is>
          <t xml:space="preserve">  La fórmula de step-ups (fila 20) mira el EBITDA de la columna ANTERIOR (B22 cuando estamos en C20).</t>
        </is>
      </c>
    </row>
    <row r="74">
      <c r="A74" s="60" t="inlineStr">
        <is>
          <t xml:space="preserve">  Ese EBITDA ya fue calculado con el nivel de OPEX del semestre anterior, que ya está fijo.</t>
        </is>
      </c>
    </row>
    <row r="75">
      <c r="A75" s="60" t="inlineStr">
        <is>
          <t xml:space="preserve">  Solo en el límite de semestre se evalúa, y siempre hacia atrás. No hay referencia circular.</t>
        </is>
      </c>
    </row>
    <row r="77">
      <c r="A77" s="308" t="inlineStr">
        <is>
          <t>COMPORTAMIENTO POR ESCENARIO:</t>
        </is>
      </c>
    </row>
    <row r="79">
      <c r="A79" s="306" t="inlineStr">
        <is>
          <t xml:space="preserve">  Pesimista (crecimiento semestral 15%):</t>
        </is>
      </c>
    </row>
    <row r="80">
      <c r="A80" s="60" t="inlineStr">
        <is>
          <t xml:space="preserve">    Meses 1-24: 0 step-ups (EBITDA siempre negativo → OPEX congelado en nivel base $22,950/mes)</t>
        </is>
      </c>
    </row>
    <row r="81">
      <c r="A81" s="60" t="inlineStr">
        <is>
          <t xml:space="preserve">    Mes 25: primer step-up=1 (EBITDA mes 24 fue positivo por primera vez)</t>
        </is>
      </c>
    </row>
    <row r="82">
      <c r="A82" s="60" t="inlineStr">
        <is>
          <t xml:space="preserve">    Acumula gradualmente: 0→0→1→2→3→4→5→6 al mes 60 (vs. viejo: 0→1→2→...9 = 9 step-ups siempre)</t>
        </is>
      </c>
    </row>
    <row r="83">
      <c r="A83" s="60" t="inlineStr">
        <is>
          <t xml:space="preserve">    Efecto: OPEX final mes 60 mucho menor que antes — la empresa operó lean los primeros 2 años.</t>
        </is>
      </c>
    </row>
    <row r="85">
      <c r="A85" s="306" t="inlineStr">
        <is>
          <t xml:space="preserve">  Base (crecimiento semestral 10%):</t>
        </is>
      </c>
    </row>
    <row r="86">
      <c r="A86" s="60" t="inlineStr">
        <is>
          <t xml:space="preserve">    Meses 1-6: 0 step-ups (EBITDA negativo)</t>
        </is>
      </c>
    </row>
    <row r="87">
      <c r="A87" s="60" t="inlineStr">
        <is>
          <t xml:space="preserve">    Mes 7: 0 (EBITDA mes 6 aún negativo → se salta 1 step-up vs. fórmula vieja)</t>
        </is>
      </c>
    </row>
    <row r="88">
      <c r="A88" s="60" t="inlineStr">
        <is>
          <t xml:space="preserve">    Mes 13: primer step-up=1 (EBITDA mes 12 ya fue positivo)</t>
        </is>
      </c>
    </row>
    <row r="89">
      <c r="A89" s="60" t="inlineStr">
        <is>
          <t xml:space="preserve">    Termina en 8 step-ups vs. viejo 9. Efecto neto: EBITDA Base mejoró de $18.07M a $18.33M.</t>
        </is>
      </c>
    </row>
    <row r="91">
      <c r="A91" s="306" t="inlineStr">
        <is>
          <t xml:space="preserve">  Optimista (crecimiento semestral 8%):</t>
        </is>
      </c>
    </row>
    <row r="92">
      <c r="A92" s="60" t="inlineStr">
        <is>
          <t xml:space="preserve">    EBITDA positivo desde mes ~4, por lo que el primer step-up se aplica desde mes 7.</t>
        </is>
      </c>
    </row>
    <row r="93">
      <c r="A93" s="60" t="inlineStr">
        <is>
          <t xml:space="preserve">    Comportamiento muy similar al viejo (solo pierde 1 step-up en los primeros 6 meses).</t>
        </is>
      </c>
    </row>
    <row r="95">
      <c r="A95" s="306" t="inlineStr">
        <is>
          <t xml:space="preserve">  COMPARACIÓN FÓRMULA VIEJA vs. NUEVA:</t>
        </is>
      </c>
    </row>
    <row r="96">
      <c r="A96" s="311" t="inlineStr">
        <is>
          <t xml:space="preserve">    Vieja: exponente = INT((B$3-1)/6) → Crece mecánicamente: 0,1,2,3,4,5,6,7,8,9 (10 niveles en 60 meses)</t>
        </is>
      </c>
    </row>
    <row r="97">
      <c r="A97" s="309" t="inlineStr">
        <is>
          <t xml:space="preserve">    Nueva: exponente = B$20 → Crece condicionalmente: 0,0,0,0,1,2,3,4,5,6 en Pesimista (6 niveles)</t>
        </is>
      </c>
    </row>
    <row r="98">
      <c r="A98" s="312" t="inlineStr">
        <is>
          <t xml:space="preserve">    La vieja permitía que el OPEX se triplicara en un escenario donde la empresa perdía dinero.</t>
        </is>
      </c>
    </row>
    <row r="99">
      <c r="A99" s="312" t="inlineStr">
        <is>
          <t xml:space="preserve">    La nueva congela el OPEX hasta que la operación pueda autofinanciarlo.</t>
        </is>
      </c>
    </row>
    <row r="102" ht="18" customHeight="1">
      <c r="A102" s="317" t="inlineStr">
        <is>
          <t>ANEXO 4: RATIOS EM/CS VARIABLES POR ESCENARIO</t>
        </is>
      </c>
    </row>
    <row r="104">
      <c r="A104" s="60" t="inlineStr">
        <is>
          <t>Concepto: Los Engagement Managers (EM) y Agentes de Customer Success (CS) son costos semi-fijos que escalan en escalones (función CEILING). Antes, los ratios restaurantes/empleado eran iguales para los 3 escenarios (50 rest/EM, 30 rest/CS). Esto sobredimensionaba el equipo de campo en Pesimista.</t>
        </is>
      </c>
    </row>
    <row r="106">
      <c r="A106" s="308" t="inlineStr">
        <is>
          <t>TABLA DE RATIOS:</t>
        </is>
      </c>
    </row>
    <row r="107">
      <c r="A107" s="306" t="inlineStr">
        <is>
          <t xml:space="preserve">  Escenario          Rest/EM     Rest/CS     Justificación</t>
        </is>
      </c>
    </row>
    <row r="108">
      <c r="A108" s="60" t="inlineStr">
        <is>
          <t xml:space="preserve">  Pesimista          75          50          Operación más digital, menor presencia física, autoservicio</t>
        </is>
      </c>
    </row>
    <row r="109">
      <c r="A109" s="60" t="inlineStr">
        <is>
          <t xml:space="preserve">  Base               50          30          Cobertura estándar balanceada digital+presencial</t>
        </is>
      </c>
    </row>
    <row r="110">
      <c r="A110" s="60" t="inlineStr">
        <is>
          <t xml:space="preserve">  Optimista          40          25          Mayor cercanía al cliente, cobertura intensiva</t>
        </is>
      </c>
    </row>
    <row r="112">
      <c r="A112" s="308" t="inlineStr">
        <is>
          <t>FÓRMULAS IMPLEMENTADAS:</t>
        </is>
      </c>
    </row>
    <row r="114">
      <c r="A114" s="60" t="inlineStr">
        <is>
          <t xml:space="preserve">  Nuevas filas en hoja Escenarios:</t>
        </is>
      </c>
    </row>
    <row r="115">
      <c r="A115" s="309" t="inlineStr">
        <is>
          <t xml:space="preserve">    Escenarios!A26 = '  Restaurantes por EM'          D26=75   E26=50   F26=40</t>
        </is>
      </c>
    </row>
    <row r="116">
      <c r="A116" s="309" t="inlineStr">
        <is>
          <t xml:space="preserve">    Escenarios!A27 = '  Restaurantes por Agente CS'   D27=50   E27=30   F27=25</t>
        </is>
      </c>
    </row>
    <row r="118">
      <c r="A118" s="60" t="inlineStr">
        <is>
          <t xml:space="preserve">  Cambios en Supuestos Generales:</t>
        </is>
      </c>
    </row>
    <row r="119">
      <c r="A119" s="311" t="inlineStr">
        <is>
          <t xml:space="preserve">    B59 ANTES: 50 (hardcoded)</t>
        </is>
      </c>
    </row>
    <row r="120">
      <c r="A120" s="309" t="inlineStr">
        <is>
          <t xml:space="preserve">    B59 DESPUÉS: =CHOOSE(Escenarios!$B$4, Escenarios!$D$26, Escenarios!$E$26, Escenarios!$F$26)</t>
        </is>
      </c>
    </row>
    <row r="121">
      <c r="A121" s="312" t="inlineStr">
        <is>
          <t xml:space="preserve">      Devuelve: Pesimista=75, Base=50, Optimista=40 (restaurantes por Engagement Manager)</t>
        </is>
      </c>
    </row>
    <row r="123">
      <c r="A123" s="311" t="inlineStr">
        <is>
          <t xml:space="preserve">    B50 ANTES: 30 (hardcoded)</t>
        </is>
      </c>
    </row>
    <row r="124">
      <c r="A124" s="309" t="inlineStr">
        <is>
          <t xml:space="preserve">    B50 DESPUÉS: =CHOOSE(Escenarios!$B$4, Escenarios!$D$27, Escenarios!$E$27, Escenarios!$F$27)</t>
        </is>
      </c>
    </row>
    <row r="125">
      <c r="A125" s="312" t="inlineStr">
        <is>
          <t xml:space="preserve">      Devuelve: Pesimista=50, Base=30, Optimista=25 (restaurantes por Agente CS)</t>
        </is>
      </c>
    </row>
    <row r="127">
      <c r="A127" s="60" t="inlineStr">
        <is>
          <t xml:space="preserve">  Fórmulas en Costos Directos que se benefician automáticamente (NO se modificaron):</t>
        </is>
      </c>
    </row>
    <row r="128">
      <c r="A128" s="309" t="inlineStr">
        <is>
          <t xml:space="preserve">    Costos Directos!B13 (# EMs) = =CEILING(Onboarding!B11 / 'Supuestos Generales'!$B$59, 1)</t>
        </is>
      </c>
    </row>
    <row r="129">
      <c r="A129" s="309" t="inlineStr">
        <is>
          <t xml:space="preserve">    Costos Directos!B15 (# CS)  = =CEILING(Onboarding!B11 / 'Supuestos Generales'!$B$50, 1)</t>
        </is>
      </c>
    </row>
    <row r="130">
      <c r="A130" s="312" t="inlineStr">
        <is>
          <t xml:space="preserve">    Como B59 y B50 ahora son CHOOSE(), estas fórmulas retornan valores distintos por escenario.</t>
        </is>
      </c>
    </row>
    <row r="132">
      <c r="A132" s="306" t="inlineStr">
        <is>
          <t xml:space="preserve">  IMPACTO CUANTITATIVO en Pesimista (ejemplo mes 24 con 378 restaurantes):</t>
        </is>
      </c>
    </row>
    <row r="133">
      <c r="A133" s="60" t="inlineStr">
        <is>
          <t xml:space="preserve">    EMs: CEILING(378/75)=6  (antes: CEILING(378/50)=8)  → Ahorro: 2 EMs × $1,750 = $3,500/mes</t>
        </is>
      </c>
    </row>
    <row r="134">
      <c r="A134" s="60" t="inlineStr">
        <is>
          <t xml:space="preserve">    CS:  CEILING(378/50)=8  (antes: CEILING(378/30)=13) → Ahorro: 5 CS  × $1,000 = $5,000/mes</t>
        </is>
      </c>
    </row>
    <row r="135">
      <c r="A135" s="312" t="inlineStr">
        <is>
          <t xml:space="preserve">    Ahorro combinado: $8,500/mes en el mes crítico de breakeven. Determinante para adelantar EBITDA+ del mes 26 al 22.</t>
        </is>
      </c>
    </row>
    <row r="138" ht="18" customHeight="1">
      <c r="A138" s="317" t="inlineStr">
        <is>
          <t>ANEXO 5: GERENTE GENERAL CON COMPENSACIÓN VARIABLE</t>
        </is>
      </c>
    </row>
    <row r="140">
      <c r="A140" s="60" t="inlineStr">
        <is>
          <t>Concepto: El Gerente General no recibe salario fijo estático. Su compensación escala con el tamaño real de la operación (medido en restaurantes activos).</t>
        </is>
      </c>
    </row>
    <row r="142">
      <c r="A142" s="308" t="inlineStr">
        <is>
          <t>ESCALA DE SALARIOS (definida por el usuario):</t>
        </is>
      </c>
    </row>
    <row r="143">
      <c r="A143" s="60" t="inlineStr">
        <is>
          <t xml:space="preserve">  0-99 restaurantes:    $3,000/mes  (año 1, operación inicial)</t>
        </is>
      </c>
    </row>
    <row r="144">
      <c r="A144" s="60" t="inlineStr">
        <is>
          <t xml:space="preserve">  100-199 restaurantes: $4,000/mes  (primera escalada)</t>
        </is>
      </c>
    </row>
    <row r="145">
      <c r="A145" s="60" t="inlineStr">
        <is>
          <t xml:space="preserve">  200-299 restaurantes: $5,000/mes</t>
        </is>
      </c>
    </row>
    <row r="146">
      <c r="A146" s="60" t="inlineStr">
        <is>
          <t xml:space="preserve">  ...cada 100 restaurantes adicionales: +$1,000/mes...</t>
        </is>
      </c>
    </row>
    <row r="147">
      <c r="A147" s="60" t="inlineStr">
        <is>
          <t xml:space="preserve">  1,200+ restaurantes:  $15,000/mes (TOPE MÁXIMO)</t>
        </is>
      </c>
    </row>
    <row r="149">
      <c r="A149" s="308" t="inlineStr">
        <is>
          <t>FÓRMULA:</t>
        </is>
      </c>
    </row>
    <row r="150">
      <c r="A150" s="309" t="inlineStr">
        <is>
          <t xml:space="preserve">  OPEX!B13:BI13 = =MIN(15000, 3000 + MAX(0, FLOOR(Onboarding!B11/100, 1)) * 1000)</t>
        </is>
      </c>
    </row>
    <row r="152">
      <c r="A152" s="306" t="inlineStr">
        <is>
          <t xml:space="preserve">  Desglose lógico:</t>
        </is>
      </c>
    </row>
    <row r="153">
      <c r="A153" s="60" t="inlineStr">
        <is>
          <t xml:space="preserve">    Onboarding!B11 = Restaurantes activos en ese mes (resultado de onboarding - churn)</t>
        </is>
      </c>
    </row>
    <row r="154">
      <c r="A154" s="60" t="inlineStr">
        <is>
          <t xml:space="preserve">    FLOOR(B11/100, 1) = Número de centenas completas (378 rest → 3 centenas)</t>
        </is>
      </c>
    </row>
    <row r="155">
      <c r="A155" s="60" t="inlineStr">
        <is>
          <t xml:space="preserve">    MAX(0, ...) = Evita negativos si restaurantes &lt; 0 (defensivo)</t>
        </is>
      </c>
    </row>
    <row r="156">
      <c r="A156" s="60" t="inlineStr">
        <is>
          <t xml:space="preserve">    3000 + centenas * 1000 = Base + incremento por escala (3 centenas → $3K + $3K = $6K)</t>
        </is>
      </c>
    </row>
    <row r="157">
      <c r="A157" s="60" t="inlineStr">
        <is>
          <t xml:space="preserve">    MIN(15000, ...) = Tope máximo absoluto</t>
        </is>
      </c>
    </row>
    <row r="159">
      <c r="A159" s="306" t="inlineStr">
        <is>
          <t xml:space="preserve">  CARACTERÍSTICAS IMPORTANTES:</t>
        </is>
      </c>
    </row>
    <row r="160">
      <c r="A160" s="60" t="inlineStr">
        <is>
          <t xml:space="preserve">    • NO usa factor escala (no se multiplica por B104) — idéntico para los 3 escenarios al mismo # de restaurantes.</t>
        </is>
      </c>
    </row>
    <row r="161">
      <c r="A161" s="60" t="inlineStr">
        <is>
          <t xml:space="preserve">    • NO usa step-ups condicionales (no ^B$20) — puramente función del tamaño real.</t>
        </is>
      </c>
    </row>
    <row r="162">
      <c r="A162" s="60" t="inlineStr">
        <is>
          <t xml:space="preserve">    • Depende de Onboarding!B11, por lo que en Pesimista (menos rest.) el salario sube más lento naturalmente.</t>
        </is>
      </c>
    </row>
    <row r="163">
      <c r="A163" s="60" t="inlineStr">
        <is>
          <t xml:space="preserve">    • Supuestos Generales!A102 = 'Gerente General', B102 = 'Variable'. OPEX!BJ13 = =SUM(B13:BI13).</t>
        </is>
      </c>
    </row>
    <row r="166" ht="18" customHeight="1">
      <c r="A166" s="317" t="inlineStr">
        <is>
          <t>ANEXO 6: LICENCIA SUPERLIKERS (COSTO FIJO CONTRACTUAL)</t>
        </is>
      </c>
    </row>
    <row r="168">
      <c r="A168" s="60" t="inlineStr">
        <is>
          <t>Concepto: Super Meseros es spin-off de Superlikers (15 años de gamificación). La plataforma tecnológica base se licencia por $5,000/mes.</t>
        </is>
      </c>
    </row>
    <row r="170">
      <c r="A170" s="308" t="inlineStr">
        <is>
          <t>FÓRMULAS:</t>
        </is>
      </c>
    </row>
    <row r="171">
      <c r="A171" s="309" t="inlineStr">
        <is>
          <t xml:space="preserve">  Supuestos Generales!B103 = 5000  (celda editable: fuente azul, fondo amarillo = hardcode modificable)</t>
        </is>
      </c>
    </row>
    <row r="172">
      <c r="A172" s="309" t="inlineStr">
        <is>
          <t xml:space="preserve">  OPEX!B14:BI14 = ='Supuestos Generales'!$B$103  (referencia absoluta, mismo valor 60 meses)</t>
        </is>
      </c>
    </row>
    <row r="173">
      <c r="A173" s="309" t="inlineStr">
        <is>
          <t xml:space="preserve">  OPEX!BJ14 = =SUM(B14:BI14) = $300,000 (60 meses × $5,000)</t>
        </is>
      </c>
    </row>
    <row r="175">
      <c r="A175" s="318" t="inlineStr">
        <is>
          <t xml:space="preserve">  CARACTERÍSTICAS:</t>
        </is>
      </c>
    </row>
    <row r="176">
      <c r="A176" s="309" t="inlineStr">
        <is>
          <t xml:space="preserve">    • NO usa factor escala — compromiso contractual independiente del escenario.</t>
        </is>
      </c>
    </row>
    <row r="177">
      <c r="A177" s="309" t="inlineStr">
        <is>
          <t xml:space="preserve">    • NO usa step-ups — el monto no crece con el tiempo.</t>
        </is>
      </c>
    </row>
    <row r="178">
      <c r="A178" s="309" t="inlineStr">
        <is>
          <t xml:space="preserve">    • Piso operativo mínimo junto con Gerente: $3K + $5K = $8K/mes irreducible.</t>
        </is>
      </c>
    </row>
    <row r="179">
      <c r="A179" s="309" t="inlineStr">
        <is>
          <t xml:space="preserve">    • Incluida en Supuestos Generales D141 (TOTAL OPEX MENSUAL) y D143 (Verificación).</t>
        </is>
      </c>
    </row>
    <row r="181">
      <c r="A181" s="309" t="inlineStr">
        <is>
          <t xml:space="preserve">  Total OPEX Fijo actualizado: OPEX!B15 = =SUM(B6:B14) (antes era =SUM(B6:B12)).</t>
        </is>
      </c>
    </row>
    <row r="184" ht="18" customHeight="1">
      <c r="A184" s="317" t="inlineStr">
        <is>
          <t>ANEXO 7: ACLARACIÓN SOBRE SUPER MONEDAS Y ARPU (OBSERVACIÓN DEL USUARIO)</t>
        </is>
      </c>
    </row>
    <row r="186">
      <c r="A186" s="60" t="inlineStr">
        <is>
          <t>Durante el análisis del Pesimista, surgió una confusión sobre cómo se contabilizan los Super Monedas (SM). Queda documentada para evitar errores futuros.</t>
        </is>
      </c>
    </row>
    <row r="188">
      <c r="A188" s="308" t="inlineStr">
        <is>
          <t>ERROR INICIAL DE INTERPRETACIÓN:</t>
        </is>
      </c>
    </row>
    <row r="189">
      <c r="A189" s="60" t="inlineStr">
        <is>
          <t xml:space="preserve">  Se asumió que el ARPU por mesero en Pesimista era solo $17 ($10 fee restaurantes + $7 fee marcas), excluyendo el ingreso bruto por venta de Super Monedas. Con esa visión, el margen por mesero parecía negativo.</t>
        </is>
      </c>
    </row>
    <row r="191">
      <c r="A191" s="313" t="inlineStr">
        <is>
          <t>CORRECCIÓN DEL USUARIO:</t>
        </is>
      </c>
    </row>
    <row r="192">
      <c r="A192" s="306" t="inlineStr">
        <is>
          <t xml:space="preserve">  Los Super Monedas que restaurantes y marcas compran para incentivar meseros SE REPORTAN COMO INGRESO BRUTO.</t>
        </is>
      </c>
    </row>
    <row r="193">
      <c r="A193" s="60" t="inlineStr">
        <is>
          <t xml:space="preserve">  A Super Meseros le ingresa: (a) Fee SaaS mensual por mesero + (b) Presupuesto de incentivos por mesero que establecen restaurantes y marcas.</t>
        </is>
      </c>
    </row>
    <row r="194">
      <c r="A194" s="60" t="inlineStr">
        <is>
          <t xml:space="preserve">  AMBOS conceptos son ingresos. Los SM se reportan brutos y luego se registra como Costo Directo la redención (80%).</t>
        </is>
      </c>
    </row>
    <row r="196">
      <c r="A196" s="308" t="inlineStr">
        <is>
          <t>ARPU CORRECTO POR MESERO EN PESIMISTA:</t>
        </is>
      </c>
    </row>
    <row r="197">
      <c r="A197" s="60" t="inlineStr">
        <is>
          <t xml:space="preserve">  Ingresos/mesero/mes: SM restaurantes $50 + SM marcas $15 + Fee SaaS rest $10 + Fee SaaS marcas $7 = $82 TOTAL</t>
        </is>
      </c>
    </row>
    <row r="198">
      <c r="A198" s="60" t="inlineStr">
        <is>
          <t xml:space="preserve">  Costos/mesero/mes: Redención SM 80% = -$52 + Incentivos/comisiones = -$1.90 → Total costos = -$53.90</t>
        </is>
      </c>
    </row>
    <row r="199">
      <c r="A199" s="306" t="inlineStr">
        <is>
          <t xml:space="preserve">  MARGEN BRUTO POR MESERO: $28.10/mesero/mes (34.3% margen)</t>
        </is>
      </c>
    </row>
    <row r="201">
      <c r="A201" s="308" t="inlineStr">
        <is>
          <t>¿DÓNDE SE EROSIONA EL MARGEN?</t>
        </is>
      </c>
    </row>
    <row r="202">
      <c r="A202" s="60" t="inlineStr">
        <is>
          <t xml:space="preserve">  Los $28.10 de margen bruto se erosionan con costos semi-fijos que NO escalan linealmente con meseros:</t>
        </is>
      </c>
    </row>
    <row r="203">
      <c r="A203" s="60" t="inlineStr">
        <is>
          <t xml:space="preserve">    • Soporte técnico: $30/restaurante (en Pesimista, paradójicamente el más alto de los 3 escenarios)</t>
        </is>
      </c>
    </row>
    <row r="204">
      <c r="A204" s="60" t="inlineStr">
        <is>
          <t xml:space="preserve">    • Engagement Managers: escalón CEILING cada 75 rest (antes cada 50)</t>
        </is>
      </c>
    </row>
    <row r="205">
      <c r="A205" s="60" t="inlineStr">
        <is>
          <t xml:space="preserve">    • Agentes CS: escalón CEILING cada 50 rest (antes cada 30)</t>
        </is>
      </c>
    </row>
    <row r="206">
      <c r="A206" s="60" t="inlineStr">
        <is>
          <t xml:space="preserve">    • Pasarela de pagos: 3.5% del ingreso bruto</t>
        </is>
      </c>
    </row>
    <row r="207">
      <c r="A207" s="60" t="inlineStr">
        <is>
          <t xml:space="preserve">    • Provisiones fraude/errores: variable</t>
        </is>
      </c>
    </row>
    <row r="208">
      <c r="A208" s="306" t="inlineStr">
        <is>
          <t xml:space="preserve">  Resultado: la contribución neta por mesero después de estos costos semi-fijos es ~$1/mesero/mes.</t>
        </is>
      </c>
    </row>
    <row r="209">
      <c r="A209" s="312" t="inlineStr">
        <is>
          <t xml:space="preserve">  Esa es la razón real por la que el Pesimista era tan ajustado — NO un problema de ARPU bajo.</t>
        </is>
      </c>
    </row>
    <row r="211">
      <c r="A211" s="308" t="inlineStr">
        <is>
          <t>DECISIÓN DEL USUARIO:</t>
        </is>
      </c>
    </row>
    <row r="212">
      <c r="A212" s="306" t="inlineStr">
        <is>
          <t xml:space="preserve">  No modificar el % de redención de SM por escenario (se mantuvo en 80% para los 3 escenarios).</t>
        </is>
      </c>
    </row>
    <row r="213">
      <c r="A213" s="312" t="inlineStr">
        <is>
          <t xml:space="preserve">  Razón implícita: el 80% de redención es una promesa al mesero y al restaurante; reducirlo afectaría la propuesta de valor.</t>
        </is>
      </c>
    </row>
    <row r="214">
      <c r="A214" s="312" t="inlineStr">
        <is>
          <t xml:space="preserve">  Esta opción queda disponible como palanca futura si se necesita mejorar aún más el Pesimista.</t>
        </is>
      </c>
    </row>
    <row r="218" ht="18" customHeight="1">
      <c r="A218" s="317" t="inlineStr">
        <is>
          <t>ANEXO 8: RESULTADOS COMPARATIVOS Y TABLAS DE SENSIBILIDAD</t>
        </is>
      </c>
    </row>
    <row r="220">
      <c r="A220" s="308" t="inlineStr">
        <is>
          <t>PESIMISTA — ANTES vs. DESPUÉS DE LOS 5 MECANISMOS:</t>
        </is>
      </c>
    </row>
    <row r="222">
      <c r="A222" s="306" t="inlineStr">
        <is>
          <t xml:space="preserve">  Métrica                     ANTES            DESPUÉS          Cambio</t>
        </is>
      </c>
    </row>
    <row r="223">
      <c r="A223" s="60" t="inlineStr">
        <is>
          <t xml:space="preserve">  EBITDA 60m                  $8,057           $1,541,776      +191×</t>
        </is>
      </c>
    </row>
    <row r="224">
      <c r="A224" s="60" t="inlineStr">
        <is>
          <t xml:space="preserve">  Utilidad Neta 60m           -$156,137        +$906,392       +$1.06M</t>
        </is>
      </c>
    </row>
    <row r="225">
      <c r="A225" s="60" t="inlineStr">
        <is>
          <t xml:space="preserve">  Caja Final                  $343,863         $1,406,392      +4.1×</t>
        </is>
      </c>
    </row>
    <row r="226">
      <c r="A226" s="60" t="inlineStr">
        <is>
          <t xml:space="preserve">  EBITDA+ desde mes           26               22              -4 meses</t>
        </is>
      </c>
    </row>
    <row r="227">
      <c r="A227" s="60" t="inlineStr">
        <is>
          <t xml:space="preserve">  Caja mínima                 ~$100K (mes 25)  ~$200K (mes 20) Más seguro</t>
        </is>
      </c>
    </row>
    <row r="229">
      <c r="A229" s="308" t="inlineStr">
        <is>
          <t>BASE — EFECTO COLATERAL POSITIVO:</t>
        </is>
      </c>
    </row>
    <row r="231">
      <c r="A231" s="306" t="inlineStr">
        <is>
          <t xml:space="preserve">  Métrica                     ANTES            DESPUÉS          Cambio</t>
        </is>
      </c>
    </row>
    <row r="232">
      <c r="A232" s="60" t="inlineStr">
        <is>
          <t xml:space="preserve">  EBITDA 60m                  $18,069,899      $18,334,699     +1.5%</t>
        </is>
      </c>
    </row>
    <row r="233">
      <c r="A233" s="60" t="inlineStr">
        <is>
          <t xml:space="preserve">  Caja Final                  $12,161,489      $12,336,766     +1.4%</t>
        </is>
      </c>
    </row>
    <row r="234">
      <c r="A234" s="312" t="inlineStr">
        <is>
          <t xml:space="preserve">  (Mejora marginal porque Base solo pierde 1 step-up en los primeros 6 meses)</t>
        </is>
      </c>
    </row>
    <row r="236">
      <c r="A236" s="308" t="inlineStr">
        <is>
          <t>TABLAS DE SENSIBILIDAD:</t>
        </is>
      </c>
    </row>
    <row r="238">
      <c r="A238" s="60" t="inlineStr">
        <is>
          <t xml:space="preserve">  Las 2 tablas de sensibilidad en hoja Escenarios fueron COMPLETAMENTE recalculadas:</t>
        </is>
      </c>
    </row>
    <row r="239">
      <c r="A239" s="60" t="inlineStr">
        <is>
          <t xml:space="preserve">    Tabla 1 (EBITDA): Escenarios!B49:H55 — EBITDA vs. Churn × ARPU (7×7 = 49 celdas × 3 escenarios = 147 valores)</t>
        </is>
      </c>
    </row>
    <row r="240">
      <c r="A240" s="60" t="inlineStr">
        <is>
          <t xml:space="preserve">    Tabla 2 (Caja):   Escenarios!B61:H67 — Caja vs. OPEX Growth × Onboarding Mult (7×7 × 3 = 147 valores)</t>
        </is>
      </c>
    </row>
    <row r="241">
      <c r="A241" s="60" t="inlineStr">
        <is>
          <t xml:space="preserve">    Total: 588 fórmulas CHOOSE() (294 celdas × 2 tablas, cada una con 3 escenarios embebidos).</t>
        </is>
      </c>
    </row>
    <row r="243">
      <c r="A243" s="309" t="inlineStr">
        <is>
          <t xml:space="preserve">  Cada celda usa: =CHOOSE($B$4, valor_pesimista, valor_base, valor_optimista)</t>
        </is>
      </c>
    </row>
    <row r="244">
      <c r="A244" s="60" t="inlineStr">
        <is>
          <t xml:space="preserve">  Los valores fueron recalculados ejecutando 588 simulaciones en Python, replicando la lógica completa del modelo de 60 meses.</t>
        </is>
      </c>
    </row>
    <row r="246">
      <c r="A246" s="312" t="inlineStr">
        <is>
          <t xml:space="preserve">  NOTA: Las tablas se desplazaron de filas 47-53/59-65 a filas 49-55/61-67 por inserción de 2 filas (26-27) en Escenarios.</t>
        </is>
      </c>
    </row>
    <row r="247">
      <c r="A247" s="312" t="inlineStr">
        <is>
          <t xml:space="preserve">  La celda central (caso base) está resaltada en amarillo y coincide con el valor del modelo activo.</t>
        </is>
      </c>
    </row>
    <row r="251" ht="18" customHeight="1">
      <c r="A251" s="317" t="inlineStr">
        <is>
          <t>ANEXO 9: MAPA CONSOLIDADO DE FÓRMULAS AFECTADAS</t>
        </is>
      </c>
    </row>
    <row r="253">
      <c r="A253" s="312" t="inlineStr">
        <is>
          <t>Fórmulas en AZUL = nuevas. Fórmulas en GRIS = versiones anteriores (reemplazadas).</t>
        </is>
      </c>
    </row>
    <row r="255">
      <c r="A255" s="305" t="inlineStr">
        <is>
          <t>HOJA OPEX (sheetId: 6):</t>
        </is>
      </c>
    </row>
    <row r="257">
      <c r="A257" s="306" t="inlineStr">
        <is>
          <t xml:space="preserve">  B6:BI6 (Eq. Producto — mismo patrón para filas 7-12 con B96-B101):</t>
        </is>
      </c>
    </row>
    <row r="258">
      <c r="A258" s="311" t="inlineStr">
        <is>
          <t xml:space="preserve">    VIEJA: ='Supuestos Generales'!$B$95 * (1+'Supuestos Generales'!$B$105) ^ INT((B$3-1)/6)</t>
        </is>
      </c>
    </row>
    <row r="259">
      <c r="A259" s="309" t="inlineStr">
        <is>
          <t xml:space="preserve">    NUEVA: ='Supuestos Generales'!$B$95 * 'Supuestos Generales'!$B$104 * (1+'Supuestos Generales'!$B$105) ^ B$20</t>
        </is>
      </c>
    </row>
    <row r="261">
      <c r="A261" s="306" t="inlineStr">
        <is>
          <t xml:space="preserve">  B13:BI13 (Gerente General) ← NUEVA FILA:</t>
        </is>
      </c>
    </row>
    <row r="262">
      <c r="A262" s="309" t="inlineStr">
        <is>
          <t xml:space="preserve">    =MIN(15000, 3000 + MAX(0, FLOOR(Onboarding!B11/100, 1)) * 1000)</t>
        </is>
      </c>
    </row>
    <row r="264">
      <c r="A264" s="306" t="inlineStr">
        <is>
          <t xml:space="preserve">  B14:BI14 (Licencia Superlikers) ← NUEVA FILA:</t>
        </is>
      </c>
    </row>
    <row r="265">
      <c r="A265" s="309" t="inlineStr">
        <is>
          <t xml:space="preserve">    ='Supuestos Generales'!$B$103</t>
        </is>
      </c>
    </row>
    <row r="267">
      <c r="A267" s="306" t="inlineStr">
        <is>
          <t xml:space="preserve">  B15:BI15 (Total OPEX Fijo):</t>
        </is>
      </c>
    </row>
    <row r="268">
      <c r="A268" s="311" t="inlineStr">
        <is>
          <t xml:space="preserve">    VIEJA: =SUM(B6:B12)</t>
        </is>
      </c>
    </row>
    <row r="269">
      <c r="A269" s="309" t="inlineStr">
        <is>
          <t xml:space="preserve">    NUEVA: =SUM(B6:B14)</t>
        </is>
      </c>
    </row>
    <row r="271">
      <c r="A271" s="306" t="inlineStr">
        <is>
          <t xml:space="preserve">  B18:BI18 (Multiplicador aplicado):</t>
        </is>
      </c>
    </row>
    <row r="272">
      <c r="A272" s="309" t="inlineStr">
        <is>
          <t xml:space="preserve">    =(1+'Supuestos Generales'!$B$105) ^ B$20</t>
        </is>
      </c>
    </row>
    <row r="274">
      <c r="A274" s="306" t="inlineStr">
        <is>
          <t xml:space="preserve">  B19:BI19 (Periodo semestral — sin cambio):</t>
        </is>
      </c>
    </row>
    <row r="275">
      <c r="A275" s="60" t="inlineStr">
        <is>
          <t xml:space="preserve">    =INT((B$3-1)/6)+1</t>
        </is>
      </c>
    </row>
    <row r="277">
      <c r="A277" s="306" t="inlineStr">
        <is>
          <t xml:space="preserve">  B20 (Step-ups acumulados — mes 1) ← NUEVA FILA:</t>
        </is>
      </c>
    </row>
    <row r="278">
      <c r="A278" s="309" t="inlineStr">
        <is>
          <t xml:space="preserve">    =0  (hardcoded)</t>
        </is>
      </c>
    </row>
    <row r="280">
      <c r="A280" s="306" t="inlineStr">
        <is>
          <t xml:space="preserve">  C20:BI20 (Step-ups acumulados — meses 2-60) ← NUEVA FILA:</t>
        </is>
      </c>
    </row>
    <row r="281">
      <c r="A281" s="309" t="inlineStr">
        <is>
          <t xml:space="preserve">    =IF(C19&gt;B19, IF('Estados Financieros'!B22&gt;0, B20+1, B20), B20)</t>
        </is>
      </c>
    </row>
    <row r="283">
      <c r="A283" s="306" t="inlineStr">
        <is>
          <t xml:space="preserve">  B23:BI23 (Total OPEX Mensual — sin cambio):</t>
        </is>
      </c>
    </row>
    <row r="284">
      <c r="A284" s="60" t="inlineStr">
        <is>
          <t xml:space="preserve">    =B15</t>
        </is>
      </c>
    </row>
    <row r="287">
      <c r="A287" s="305" t="inlineStr">
        <is>
          <t>HOJA SUPUESTOS GENERALES (sheetId: 1):</t>
        </is>
      </c>
    </row>
    <row r="289">
      <c r="A289" s="306" t="inlineStr">
        <is>
          <t xml:space="preserve">  B50 (Restaurantes por Agente CS):</t>
        </is>
      </c>
    </row>
    <row r="290">
      <c r="A290" s="311" t="inlineStr">
        <is>
          <t xml:space="preserve">    VIEJA: 30 (hardcoded)</t>
        </is>
      </c>
    </row>
    <row r="291">
      <c r="A291" s="309" t="inlineStr">
        <is>
          <t xml:space="preserve">    NUEVA: =CHOOSE(Escenarios!$B$4, Escenarios!$D$27, Escenarios!$E$27, Escenarios!$F$27)</t>
        </is>
      </c>
    </row>
    <row r="293">
      <c r="A293" s="306" t="inlineStr">
        <is>
          <t xml:space="preserve">  B59 (Restaurantes por EM):</t>
        </is>
      </c>
    </row>
    <row r="294">
      <c r="A294" s="311" t="inlineStr">
        <is>
          <t xml:space="preserve">    VIEJA: 50 (hardcoded)</t>
        </is>
      </c>
    </row>
    <row r="295">
      <c r="A295" s="309" t="inlineStr">
        <is>
          <t xml:space="preserve">    NUEVA: =CHOOSE(Escenarios!$B$4, Escenarios!$D$26, Escenarios!$E$26, Escenarios!$F$26)</t>
        </is>
      </c>
    </row>
    <row r="297">
      <c r="A297" s="309" t="inlineStr">
        <is>
          <t xml:space="preserve">  B102 (Gerente General) ← NUEVA: ='Variable' (texto con nota explicando escalado)</t>
        </is>
      </c>
    </row>
    <row r="298">
      <c r="A298" s="309" t="inlineStr">
        <is>
          <t xml:space="preserve">  B103 (Licencia Superlikers) ← NUEVA: =5000 (hardcode editable, fuente azul, fondo amarillo)</t>
        </is>
      </c>
    </row>
    <row r="299">
      <c r="A299" s="309" t="inlineStr">
        <is>
          <t xml:space="preserve">  B104 (Factor escala OPEX) ← NUEVA: =CHOOSE(Escenarios!$B$4, Escenarios!$D$23, Escenarios!$E$23, Escenarios!$F$23)</t>
        </is>
      </c>
    </row>
    <row r="300">
      <c r="A300" s="309" t="inlineStr">
        <is>
          <t xml:space="preserve">  D141 (TOTAL OPEX MENSUAL) — Actualizada para incluir B103 (Licencia) en la suma</t>
        </is>
      </c>
    </row>
    <row r="303">
      <c r="A303" s="305" t="inlineStr">
        <is>
          <t>HOJA ESCENARIOS (sheetId: 8):</t>
        </is>
      </c>
    </row>
    <row r="305">
      <c r="A305" s="306" t="inlineStr">
        <is>
          <t xml:space="preserve">  A23 renombrado:</t>
        </is>
      </c>
    </row>
    <row r="306">
      <c r="A306" s="311" t="inlineStr">
        <is>
          <t xml:space="preserve">    VIEJA: '  OPEX base mensual'       D23=$15,000  E23=$32,500  F23=$65,000</t>
        </is>
      </c>
    </row>
    <row r="307">
      <c r="A307" s="309" t="inlineStr">
        <is>
          <t xml:space="preserve">    NUEVA: '  Factor escala OPEX fijo'  D23=0.46     E23=1        F23=2</t>
        </is>
      </c>
    </row>
    <row r="309">
      <c r="A309" s="309" t="inlineStr">
        <is>
          <t xml:space="preserve">  A26:F26 ← NUEVA: '  Restaurantes por EM'          D26=75   E26=50   F26=40</t>
        </is>
      </c>
    </row>
    <row r="310">
      <c r="A310" s="309" t="inlineStr">
        <is>
          <t xml:space="preserve">  A27:F27 ← NUEVA: '  Restaurantes por Agente CS'   D27=50   E27=30   F27=25</t>
        </is>
      </c>
    </row>
    <row r="312">
      <c r="A312" s="318" t="inlineStr">
        <is>
          <t xml:space="preserve">  B49:H55 (Tabla sensibilidad 1 — EBITDA — recalculada):</t>
        </is>
      </c>
    </row>
    <row r="313">
      <c r="A313" s="309" t="inlineStr">
        <is>
          <t xml:space="preserve">    Cada celda: =CHOOSE($B$4, valor_pesimista, valor_base, valor_optimista)</t>
        </is>
      </c>
    </row>
    <row r="315">
      <c r="A315" s="306" t="inlineStr">
        <is>
          <t xml:space="preserve">  B61:H67 (Tabla sensibilidad 2 — Caja — recalculada):</t>
        </is>
      </c>
    </row>
    <row r="316">
      <c r="A316" s="309" t="inlineStr">
        <is>
          <t xml:space="preserve">    Cada celda: =CHOOSE($B$4, valor_pesimista, valor_base, valor_optimista)</t>
        </is>
      </c>
    </row>
    <row r="319">
      <c r="A319" s="305" t="inlineStr">
        <is>
          <t>HOJA ESTADOS FINANCIEROS (sheetId: 7) — NO MODIFICADA:</t>
        </is>
      </c>
    </row>
    <row r="321">
      <c r="A321" s="60" t="inlineStr">
        <is>
          <t xml:space="preserve">  EF!B21 = =OPEX!B23 (OPEX Total Mensual → se actualiza automáticamente)</t>
        </is>
      </c>
    </row>
    <row r="322">
      <c r="A322" s="60" t="inlineStr">
        <is>
          <t xml:space="preserve">  EF!B22 = EBITDA = Ingresos - Costos Directos - CAC - OPEX (sin cambio, pero su valor cambia por OPEX)</t>
        </is>
      </c>
    </row>
    <row r="323">
      <c r="A323" s="312" t="inlineStr">
        <is>
          <t xml:space="preserve">  La referencia a EF!B22&gt;0 en la fórmula de step-ups (OPEX!C20) apunta a esta celda.</t>
        </is>
      </c>
    </row>
    <row r="326">
      <c r="A326" s="305" t="inlineStr">
        <is>
          <t>HOJA COSTOS DIRECTOS (sheetId: 4) — NO MODIFICADA:</t>
        </is>
      </c>
    </row>
    <row r="328">
      <c r="A328" s="60" t="inlineStr">
        <is>
          <t xml:space="preserve">  Las fórmulas de EM y CS ya referenciaban Supuestos B59 y B50.</t>
        </is>
      </c>
    </row>
    <row r="329">
      <c r="A329" s="60" t="inlineStr">
        <is>
          <t xml:space="preserve">  Al cambiar B59 y B50 de hardcodes a CHOOSE(), Costos Directos se ajusta automáticamente por escenario.</t>
        </is>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LUCIANO DEL CASTILLO DÍAZ GRANADOS</dc:creator>
  <dcterms:created xmlns:dcterms="http://purl.org/dc/terms/" xmlns:xsi="http://www.w3.org/2001/XMLSchema-instance" xsi:type="dcterms:W3CDTF">2026-02-10T14:25:58Z</dcterms:created>
  <dcterms:modified xmlns:dcterms="http://purl.org/dc/terms/" xmlns:xsi="http://www.w3.org/2001/XMLSchema-instance" xsi:type="dcterms:W3CDTF">2026-04-21T19:23:41Z</dcterms:modified>
  <cp:lastModifiedBy>Angela Guerrero Sanchez</cp:lastModifiedBy>
</cp:coreProperties>
</file>